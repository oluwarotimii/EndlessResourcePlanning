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les x Areas" sheetId="1" state="visible" r:id="rId3"/>
    <sheet name="Approval limits" sheetId="2" state="visible" r:id="rId4"/>
    <sheet name="Data scope" sheetId="3" state="visible" r:id="rId5"/>
    <sheet name="Scree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<sst xmlns="http://schemas.openxmlformats.org/spreadsheetml/2006/main" count="453" uniqueCount="210">
  <si>
    <t xml:space="preserve">Role access by area (version 3)</t>
  </si>
  <si>
    <t xml:space="preserve">V = view   C = create   E = edit   A = approve.  Combine letters (e.g. VCE). Blank = no access. Blue text = inputs you can change; add new roles in the spare rows.</t>
  </si>
  <si>
    <t xml:space="preserve">In ERPNext, 'A' is a workflow approval step (not a permission) and the approver must be a different person from the creator. Naira limits are on the 'Approval limits' tab.</t>
  </si>
  <si>
    <t xml:space="preserve">Role</t>
  </si>
  <si>
    <t xml:space="preserve">Web and app</t>
  </si>
  <si>
    <t xml:space="preserve">Stores (POS)</t>
  </si>
  <si>
    <t xml:space="preserve">CRM</t>
  </si>
  <si>
    <t xml:space="preserve">Digital media</t>
  </si>
  <si>
    <t xml:space="preserve">Marketing</t>
  </si>
  <si>
    <t xml:space="preserve">Customer success</t>
  </si>
  <si>
    <t xml:space="preserve">Procurement</t>
  </si>
  <si>
    <t xml:space="preserve">Warehouse</t>
  </si>
  <si>
    <t xml:space="preserve">Stock control</t>
  </si>
  <si>
    <t xml:space="preserve">Returns</t>
  </si>
  <si>
    <t xml:space="preserve">Delivery</t>
  </si>
  <si>
    <t xml:space="preserve">Repairs</t>
  </si>
  <si>
    <t xml:space="preserve">Cash-up</t>
  </si>
  <si>
    <t xml:space="preserve">Credit sales</t>
  </si>
  <si>
    <t xml:space="preserve">Expenses</t>
  </si>
  <si>
    <t xml:space="preserve">Accounting</t>
  </si>
  <si>
    <t xml:space="preserve">Payments</t>
  </si>
  <si>
    <t xml:space="preserve">Payroll</t>
  </si>
  <si>
    <t xml:space="preserve">Tax and VAT</t>
  </si>
  <si>
    <t xml:space="preserve">HR and staff</t>
  </si>
  <si>
    <t xml:space="preserve">Assets</t>
  </si>
  <si>
    <t xml:space="preserve">Audit</t>
  </si>
  <si>
    <t xml:space="preserve">Reporting</t>
  </si>
  <si>
    <t xml:space="preserve">Admin and IT</t>
  </si>
  <si>
    <t xml:space="preserve">Areas accessible</t>
  </si>
  <si>
    <t xml:space="preserve">Areas with approval</t>
  </si>
  <si>
    <t xml:space="preserve">Admin / IT</t>
  </si>
  <si>
    <t xml:space="preserve">VE</t>
  </si>
  <si>
    <t xml:space="preserve">V</t>
  </si>
  <si>
    <t xml:space="preserve">VCE</t>
  </si>
  <si>
    <t xml:space="preserve">MD / Executive</t>
  </si>
  <si>
    <t xml:space="preserve">VA</t>
  </si>
  <si>
    <t xml:space="preserve">Branch manager</t>
  </si>
  <si>
    <t xml:space="preserve">VCEA</t>
  </si>
  <si>
    <t xml:space="preserve">VC</t>
  </si>
  <si>
    <t xml:space="preserve">Cashier</t>
  </si>
  <si>
    <t xml:space="preserve">Sales rep</t>
  </si>
  <si>
    <t xml:space="preserve">Marketing manager</t>
  </si>
  <si>
    <t xml:space="preserve">Customer success manager</t>
  </si>
  <si>
    <t xml:space="preserve">Customer support</t>
  </si>
  <si>
    <t xml:space="preserve">Technician</t>
  </si>
  <si>
    <t xml:space="preserve">Warehouse officer</t>
  </si>
  <si>
    <t xml:space="preserve">Stock controller</t>
  </si>
  <si>
    <t xml:space="preserve">Delivery coordinator</t>
  </si>
  <si>
    <t xml:space="preserve">Rider / courier</t>
  </si>
  <si>
    <t xml:space="preserve">Procurement officer</t>
  </si>
  <si>
    <t xml:space="preserve">Credit controller</t>
  </si>
  <si>
    <t xml:space="preserve">Cash controller</t>
  </si>
  <si>
    <t xml:space="preserve">Accountant</t>
  </si>
  <si>
    <t xml:space="preserve">HR officer</t>
  </si>
  <si>
    <t xml:space="preserve">Auditor</t>
  </si>
  <si>
    <t xml:space="preserve">Shading: green = can approve, blue = can create or edit, grey = view only.</t>
  </si>
  <si>
    <t xml:space="preserve">Changes from v1: added Marketing, Customer success, Stock control, Returns, Cash-up, Credit sales, Expenses and Assets areas; added 6 roles; removed self-approval (Accountant, Admin / IT, Delivery coordinator); price changes now approved by MD.</t>
  </si>
  <si>
    <t xml:space="preserve">Approval limits (suggested, confirm with the MD)</t>
  </si>
  <si>
    <t xml:space="preserve">Starting values from the MD-perspective review. Rows marked PLACEHOLDER are my own guesses with no review; set the real values. Blue cells are inputs; change them to the company's real limits. Amounts in Naira (NGN).</t>
  </si>
  <si>
    <t xml:space="preserve">Control</t>
  </si>
  <si>
    <t xml:space="preserve">Who acts</t>
  </si>
  <si>
    <t xml:space="preserve">Limit</t>
  </si>
  <si>
    <t xml:space="preserve">Unit</t>
  </si>
  <si>
    <t xml:space="preserve">Above the limit</t>
  </si>
  <si>
    <t xml:space="preserve">Discount at till</t>
  </si>
  <si>
    <t xml:space="preserve">% of sale</t>
  </si>
  <si>
    <t xml:space="preserve">Discount</t>
  </si>
  <si>
    <t xml:space="preserve">MD</t>
  </si>
  <si>
    <t xml:space="preserve">Refund or void</t>
  </si>
  <si>
    <t xml:space="preserve">NGN per item</t>
  </si>
  <si>
    <t xml:space="preserve">Stock write-off</t>
  </si>
  <si>
    <t xml:space="preserve">Branch manager, with Auditor</t>
  </si>
  <si>
    <t xml:space="preserve">NGN per write-off</t>
  </si>
  <si>
    <t xml:space="preserve">Purchase order</t>
  </si>
  <si>
    <t xml:space="preserve">NGN per PO</t>
  </si>
  <si>
    <t xml:space="preserve">New supplier</t>
  </si>
  <si>
    <t xml:space="preserve">approvals needed</t>
  </si>
  <si>
    <t xml:space="preserve">(also TIN check)</t>
  </si>
  <si>
    <t xml:space="preserve">Payout, single payee</t>
  </si>
  <si>
    <t xml:space="preserve">Accountant prepares</t>
  </si>
  <si>
    <t xml:space="preserve">NGN per payee</t>
  </si>
  <si>
    <t xml:space="preserve">MD one-time code</t>
  </si>
  <si>
    <t xml:space="preserve">Payout, batch</t>
  </si>
  <si>
    <t xml:space="preserve">NGN per batch</t>
  </si>
  <si>
    <t xml:space="preserve">Payout, daily cap</t>
  </si>
  <si>
    <t xml:space="preserve">System</t>
  </si>
  <si>
    <t xml:space="preserve">NGN per day</t>
  </si>
  <si>
    <t xml:space="preserve">Blocked</t>
  </si>
  <si>
    <t xml:space="preserve">Payee account change hold</t>
  </si>
  <si>
    <t xml:space="preserve">hours</t>
  </si>
  <si>
    <t xml:space="preserve">Released after hold</t>
  </si>
  <si>
    <t xml:space="preserve">Price change</t>
  </si>
  <si>
    <t xml:space="preserve">Digital media / Marketing</t>
  </si>
  <si>
    <t xml:space="preserve">% margin shift</t>
  </si>
  <si>
    <t xml:space="preserve">PLACEHOLDER: credit limit change</t>
  </si>
  <si>
    <t xml:space="preserve">NGN per customer</t>
  </si>
  <si>
    <t xml:space="preserve">PLACEHOLDER: credit sale over limit or overdue</t>
  </si>
  <si>
    <t xml:space="preserve">NGN (block unless approved)</t>
  </si>
  <si>
    <t xml:space="preserve">PLACEHOLDER: expense claim</t>
  </si>
  <si>
    <t xml:space="preserve">NGN per claim</t>
  </si>
  <si>
    <t xml:space="preserve">PLACEHOLDER: branch petty cash float</t>
  </si>
  <si>
    <t xml:space="preserve">NGN per branch</t>
  </si>
  <si>
    <t xml:space="preserve">PLACEHOLDER: item treated as an asset</t>
  </si>
  <si>
    <t xml:space="preserve">NGN minimum cost</t>
  </si>
  <si>
    <t xml:space="preserve">(below = expense)</t>
  </si>
  <si>
    <t xml:space="preserve">PLACEHOLDER: asset disposal or write-off</t>
  </si>
  <si>
    <t xml:space="preserve">NGN (always MD)</t>
  </si>
  <si>
    <t xml:space="preserve">Data limits (which records a role may see)</t>
  </si>
  <si>
    <t xml:space="preserve">Area access gives screens; these rules limit records inside them. In ERPNext: User Permissions on Company/Branch/Warehouse/Cost Center; 'own records' uses owner-based rules or a query hook.</t>
  </si>
  <si>
    <t xml:space="preserve">Limited to</t>
  </si>
  <si>
    <t xml:space="preserve">Notes</t>
  </si>
  <si>
    <t xml:space="preserve">Own branch</t>
  </si>
  <si>
    <t xml:space="preserve">Stock, sales, cash-up and staff of that branch only</t>
  </si>
  <si>
    <t xml:space="preserve">Own branch, own shift</t>
  </si>
  <si>
    <t xml:space="preserve">No price edits, no cost price, no discounts</t>
  </si>
  <si>
    <t xml:space="preserve">Own branch, own orders</t>
  </si>
  <si>
    <t xml:space="preserve">Orders they created</t>
  </si>
  <si>
    <t xml:space="preserve">Own repair centre</t>
  </si>
  <si>
    <t xml:space="preserve">Jobs assigned; parts from the spares store only</t>
  </si>
  <si>
    <t xml:space="preserve">Cannot approve own stock adjustments</t>
  </si>
  <si>
    <t xml:space="preserve">Assigned branches</t>
  </si>
  <si>
    <t xml:space="preserve">Independent counts; reports to MD or Auditor, not branch</t>
  </si>
  <si>
    <t xml:space="preserve">All deliveries</t>
  </si>
  <si>
    <t xml:space="preserve">No payment details</t>
  </si>
  <si>
    <t xml:space="preserve">Own trips</t>
  </si>
  <si>
    <t xml:space="preserve">Proof of delivery and cash remittance only</t>
  </si>
  <si>
    <t xml:space="preserve">All customers</t>
  </si>
  <si>
    <t xml:space="preserve">No cost prices or payroll</t>
  </si>
  <si>
    <t xml:space="preserve">Customers (no payment data)</t>
  </si>
  <si>
    <t xml:space="preserve">Promotion and campaign data only</t>
  </si>
  <si>
    <t xml:space="preserve">All branches</t>
  </si>
  <si>
    <t xml:space="preserve">Cash-up, deposits and petty cash floats; cannot post sales</t>
  </si>
  <si>
    <t xml:space="preserve">All customers with balances</t>
  </si>
  <si>
    <t xml:space="preserve">Statements, collections and limit proposals; MD approves limit increases</t>
  </si>
  <si>
    <t xml:space="preserve">Sales rep, Technician, Rider and others</t>
  </si>
  <si>
    <t xml:space="preserve">Own expense claims</t>
  </si>
  <si>
    <t xml:space="preserve">Submit own claims only; approver is the manager</t>
  </si>
  <si>
    <t xml:space="preserve">Cannot approve own entries; cancel on posted invoices is a separate narrow role</t>
  </si>
  <si>
    <t xml:space="preserve">All staff</t>
  </si>
  <si>
    <t xml:space="preserve">Payroll prepared here, verified by Accountant, released by MD</t>
  </si>
  <si>
    <t xml:space="preserve">All branches, read-only</t>
  </si>
  <si>
    <t xml:space="preserve">Independent of finance; can add findings and do counts</t>
  </si>
  <si>
    <t xml:space="preserve">System setup</t>
  </si>
  <si>
    <t xml:space="preserve">No access to payroll or HR; cannot grant own access; MD holds a break-glass admin account</t>
  </si>
  <si>
    <t xml:space="preserve">Screen registry (drives what each person sees)</t>
  </si>
  <si>
    <t xml:space="preserve">Generate this list from ERPNext roles, not a second copy: a screen shows only when the user's role has at least View on its area. Add a row to add a screen.</t>
  </si>
  <si>
    <t xml:space="preserve">Screen</t>
  </si>
  <si>
    <t xml:space="preserve">Area</t>
  </si>
  <si>
    <t xml:space="preserve">Main ERPNext records</t>
  </si>
  <si>
    <t xml:space="preserve">Roles with access</t>
  </si>
  <si>
    <t xml:space="preserve">Custom code?</t>
  </si>
  <si>
    <t xml:space="preserve">Online orders</t>
  </si>
  <si>
    <t xml:space="preserve">Sales Order, Website Item, Shopping Cart</t>
  </si>
  <si>
    <t xml:space="preserve">Yes (customer app)</t>
  </si>
  <si>
    <t xml:space="preserve">Till</t>
  </si>
  <si>
    <t xml:space="preserve">POS Invoice, POS Profile, Opening and Closing Entry</t>
  </si>
  <si>
    <t xml:space="preserve">Yes (scan-and-pay UI)</t>
  </si>
  <si>
    <t xml:space="preserve">Customer accounts</t>
  </si>
  <si>
    <t xml:space="preserve">Customer, Lead, Contact</t>
  </si>
  <si>
    <t xml:space="preserve">No</t>
  </si>
  <si>
    <t xml:space="preserve">Content and prices</t>
  </si>
  <si>
    <t xml:space="preserve">Item, Price List, Pricing Rule</t>
  </si>
  <si>
    <t xml:space="preserve">Campaigns and promotions</t>
  </si>
  <si>
    <t xml:space="preserve">Campaign, Coupon Code, Pricing Rule</t>
  </si>
  <si>
    <t xml:space="preserve">Light</t>
  </si>
  <si>
    <t xml:space="preserve">Customer care</t>
  </si>
  <si>
    <t xml:space="preserve">Issue, Customer feedback (custom)</t>
  </si>
  <si>
    <t xml:space="preserve">Purchase orders</t>
  </si>
  <si>
    <t xml:space="preserve">Supplier, Material Request, Purchase Order, Purchase Receipt</t>
  </si>
  <si>
    <t xml:space="preserve">Stock and transfers</t>
  </si>
  <si>
    <t xml:space="preserve">Bin, Stock Entry, Putaway</t>
  </si>
  <si>
    <t xml:space="preserve">Counts and write-offs</t>
  </si>
  <si>
    <t xml:space="preserve">Stock Reconciliation, Write-off workflow</t>
  </si>
  <si>
    <t xml:space="preserve">Light (workflow)</t>
  </si>
  <si>
    <t xml:space="preserve">Sales Return, Purchase Return, Quarantine warehouse</t>
  </si>
  <si>
    <t xml:space="preserve">Dispatch board</t>
  </si>
  <si>
    <t xml:space="preserve">Delivery Note, Delivery Trip, Proof of delivery (custom)</t>
  </si>
  <si>
    <t xml:space="preserve">Yes (rider app)</t>
  </si>
  <si>
    <t xml:space="preserve">Repair jobs</t>
  </si>
  <si>
    <t xml:space="preserve">Repair Job (custom), Stock Entry for parts</t>
  </si>
  <si>
    <t xml:space="preserve">Yes</t>
  </si>
  <si>
    <t xml:space="preserve">Branch cash-up</t>
  </si>
  <si>
    <t xml:space="preserve">POS Closing Entry, Cash-up (custom), Bank deposit</t>
  </si>
  <si>
    <t xml:space="preserve">Ledgers and invoices</t>
  </si>
  <si>
    <t xml:space="preserve">GL Entry, Sales and Purchase Invoice, Bank Reconciliation</t>
  </si>
  <si>
    <t xml:space="preserve">Payment reconciliation</t>
  </si>
  <si>
    <t xml:space="preserve">Payment Entry, Paystack log (custom)</t>
  </si>
  <si>
    <t xml:space="preserve">Payroll runs</t>
  </si>
  <si>
    <t xml:space="preserve">Salary Slip, Payroll Entry, Payout Batch (custom)</t>
  </si>
  <si>
    <t xml:space="preserve">Yes (GAPS file, payouts)</t>
  </si>
  <si>
    <t xml:space="preserve">Tax returns</t>
  </si>
  <si>
    <t xml:space="preserve">Tax Template, VAT report (custom)</t>
  </si>
  <si>
    <t xml:space="preserve">Staff records</t>
  </si>
  <si>
    <t xml:space="preserve">Employee, Attendance, Leave Application</t>
  </si>
  <si>
    <t xml:space="preserve">Audit trail</t>
  </si>
  <si>
    <t xml:space="preserve">Version, Activity Log, Audit Finding (custom)</t>
  </si>
  <si>
    <t xml:space="preserve">Dashboards</t>
  </si>
  <si>
    <t xml:space="preserve">Script Report, Dashboard, Number Card</t>
  </si>
  <si>
    <t xml:space="preserve">Credit sale at till</t>
  </si>
  <si>
    <t xml:space="preserve">Sales Invoice, Customer credit limit</t>
  </si>
  <si>
    <t xml:space="preserve">Customer statements and collections</t>
  </si>
  <si>
    <t xml:space="preserve">Accounts Receivable, Customer statement</t>
  </si>
  <si>
    <t xml:space="preserve">Expense requests</t>
  </si>
  <si>
    <t xml:space="preserve">Expense Claim</t>
  </si>
  <si>
    <t xml:space="preserve">Petty cash float</t>
  </si>
  <si>
    <t xml:space="preserve">Journal Entry, Petty cash (custom)</t>
  </si>
  <si>
    <t xml:space="preserve">Asset register</t>
  </si>
  <si>
    <t xml:space="preserve">Asset, Asset Movement, Asset Maintenance</t>
  </si>
  <si>
    <t xml:space="preserve">Users and roles</t>
  </si>
  <si>
    <t xml:space="preserve">User, Role, User Permission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</si>
</sst>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1F1F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9FD8B8"/>
        </patternFill>
      </fill>
    </dxf>
    <dxf>
      <fill>
        <patternFill>
          <bgColor rgb="FFCDE8F6"/>
        </patternFill>
      </fill>
    </dxf>
    <dxf>
      <fill>
        <patternFill>
          <bgColor rgb="FFEEEE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EEEEEE"/>
      <rgbColor rgb="FFCDE8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FD8B8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7" min="2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43.5" hidden="false" customHeight="true" outlineLevel="0" collapsed="false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18</v>
      </c>
      <c r="Q4" s="3" t="s">
        <v>19</v>
      </c>
      <c r="R4" s="3" t="s">
        <v>20</v>
      </c>
      <c r="S4" s="3" t="s">
        <v>21</v>
      </c>
      <c r="T4" s="3" t="s">
        <v>22</v>
      </c>
      <c r="U4" s="3" t="s">
        <v>23</v>
      </c>
      <c r="V4" s="3" t="s">
        <v>24</v>
      </c>
      <c r="W4" s="3" t="s">
        <v>25</v>
      </c>
      <c r="X4" s="3" t="s">
        <v>26</v>
      </c>
      <c r="Y4" s="3" t="s">
        <v>27</v>
      </c>
      <c r="Z4" s="3" t="s">
        <v>28</v>
      </c>
      <c r="AA4" s="3" t="s">
        <v>29</v>
      </c>
    </row>
    <row r="5" customFormat="false" ht="15" hidden="false" customHeight="false" outlineLevel="0" collapsed="false">
      <c r="A5" s="4" t="s">
        <v>30</v>
      </c>
      <c r="B5" s="5" t="s">
        <v>31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 t="s">
        <v>32</v>
      </c>
      <c r="Y5" s="5" t="s">
        <v>33</v>
      </c>
      <c r="Z5" s="6" t="n">
        <f aca="false">IF($A5="","",COUNTIF(B5:Y5,"?*"))</f>
        <v>3</v>
      </c>
      <c r="AA5" s="6" t="n">
        <f aca="false">IF($A5="","",COUNTIF(B5:Y5,"*A*"))</f>
        <v>0</v>
      </c>
    </row>
    <row r="6" customFormat="false" ht="15" hidden="false" customHeight="false" outlineLevel="0" collapsed="false">
      <c r="A6" s="4" t="s">
        <v>34</v>
      </c>
      <c r="B6" s="5" t="s">
        <v>32</v>
      </c>
      <c r="C6" s="5" t="s">
        <v>32</v>
      </c>
      <c r="D6" s="5" t="s">
        <v>32</v>
      </c>
      <c r="E6" s="5" t="s">
        <v>35</v>
      </c>
      <c r="F6" s="5" t="s">
        <v>35</v>
      </c>
      <c r="G6" s="5" t="s">
        <v>32</v>
      </c>
      <c r="H6" s="5" t="s">
        <v>35</v>
      </c>
      <c r="I6" s="5" t="s">
        <v>32</v>
      </c>
      <c r="J6" s="5" t="s">
        <v>35</v>
      </c>
      <c r="K6" s="5" t="s">
        <v>35</v>
      </c>
      <c r="L6" s="5" t="s">
        <v>32</v>
      </c>
      <c r="M6" s="5" t="s">
        <v>32</v>
      </c>
      <c r="N6" s="5" t="s">
        <v>32</v>
      </c>
      <c r="O6" s="5" t="s">
        <v>35</v>
      </c>
      <c r="P6" s="5" t="s">
        <v>35</v>
      </c>
      <c r="Q6" s="5" t="s">
        <v>32</v>
      </c>
      <c r="R6" s="5" t="s">
        <v>35</v>
      </c>
      <c r="S6" s="5" t="s">
        <v>35</v>
      </c>
      <c r="T6" s="5" t="s">
        <v>32</v>
      </c>
      <c r="U6" s="5" t="s">
        <v>32</v>
      </c>
      <c r="V6" s="5" t="s">
        <v>35</v>
      </c>
      <c r="W6" s="5" t="s">
        <v>32</v>
      </c>
      <c r="X6" s="5" t="s">
        <v>32</v>
      </c>
      <c r="Y6" s="5" t="s">
        <v>35</v>
      </c>
      <c r="Z6" s="6" t="n">
        <f aca="false">IF($A6="","",COUNTIF(B6:Y6,"?*"))</f>
        <v>24</v>
      </c>
      <c r="AA6" s="6" t="n">
        <f aca="false">IF($A6="","",COUNTIF(B6:Y6,"*A*"))</f>
        <v>11</v>
      </c>
    </row>
    <row r="7" customFormat="false" ht="15" hidden="false" customHeight="false" outlineLevel="0" collapsed="false">
      <c r="A7" s="4" t="s">
        <v>36</v>
      </c>
      <c r="B7" s="5" t="s">
        <v>32</v>
      </c>
      <c r="C7" s="5" t="s">
        <v>37</v>
      </c>
      <c r="D7" s="5" t="s">
        <v>38</v>
      </c>
      <c r="E7" s="5"/>
      <c r="F7" s="5"/>
      <c r="G7" s="5" t="s">
        <v>32</v>
      </c>
      <c r="H7" s="5"/>
      <c r="I7" s="5" t="s">
        <v>33</v>
      </c>
      <c r="J7" s="5" t="s">
        <v>37</v>
      </c>
      <c r="K7" s="5" t="s">
        <v>37</v>
      </c>
      <c r="L7" s="5" t="s">
        <v>33</v>
      </c>
      <c r="M7" s="5" t="s">
        <v>32</v>
      </c>
      <c r="N7" s="5" t="s">
        <v>33</v>
      </c>
      <c r="O7" s="5" t="s">
        <v>37</v>
      </c>
      <c r="P7" s="5" t="s">
        <v>37</v>
      </c>
      <c r="Q7" s="5"/>
      <c r="R7" s="5"/>
      <c r="S7" s="5"/>
      <c r="T7" s="5"/>
      <c r="U7" s="5" t="s">
        <v>35</v>
      </c>
      <c r="V7" s="5" t="s">
        <v>38</v>
      </c>
      <c r="W7" s="5"/>
      <c r="X7" s="5" t="s">
        <v>32</v>
      </c>
      <c r="Y7" s="5"/>
      <c r="Z7" s="6" t="n">
        <f aca="false">IF($A7="","",COUNTIF(B7:Y7,"?*"))</f>
        <v>15</v>
      </c>
      <c r="AA7" s="6" t="n">
        <f aca="false">IF($A7="","",COUNTIF(B7:Y7,"*A*"))</f>
        <v>6</v>
      </c>
    </row>
    <row r="8" customFormat="false" ht="15" hidden="false" customHeight="false" outlineLevel="0" collapsed="false">
      <c r="A8" s="4" t="s">
        <v>39</v>
      </c>
      <c r="B8" s="5" t="s">
        <v>32</v>
      </c>
      <c r="C8" s="5" t="s">
        <v>38</v>
      </c>
      <c r="D8" s="5" t="s">
        <v>32</v>
      </c>
      <c r="E8" s="5"/>
      <c r="F8" s="5"/>
      <c r="G8" s="5"/>
      <c r="H8" s="5"/>
      <c r="I8" s="5"/>
      <c r="J8" s="5"/>
      <c r="K8" s="5" t="s">
        <v>38</v>
      </c>
      <c r="L8" s="5"/>
      <c r="M8" s="5"/>
      <c r="N8" s="5" t="s">
        <v>38</v>
      </c>
      <c r="O8" s="5" t="s">
        <v>38</v>
      </c>
      <c r="P8" s="5"/>
      <c r="Q8" s="5"/>
      <c r="R8" s="5" t="s">
        <v>32</v>
      </c>
      <c r="S8" s="5"/>
      <c r="T8" s="5"/>
      <c r="U8" s="5"/>
      <c r="V8" s="5"/>
      <c r="W8" s="5"/>
      <c r="X8" s="5"/>
      <c r="Y8" s="5"/>
      <c r="Z8" s="6" t="n">
        <f aca="false">IF($A8="","",COUNTIF(B8:Y8,"?*"))</f>
        <v>7</v>
      </c>
      <c r="AA8" s="6" t="n">
        <f aca="false">IF($A8="","",COUNTIF(B8:Y8,"*A*"))</f>
        <v>0</v>
      </c>
    </row>
    <row r="9" customFormat="false" ht="15" hidden="false" customHeight="false" outlineLevel="0" collapsed="false">
      <c r="A9" s="4" t="s">
        <v>40</v>
      </c>
      <c r="B9" s="5" t="s">
        <v>32</v>
      </c>
      <c r="C9" s="5" t="s">
        <v>38</v>
      </c>
      <c r="D9" s="5" t="s">
        <v>38</v>
      </c>
      <c r="E9" s="5"/>
      <c r="F9" s="5"/>
      <c r="G9" s="5"/>
      <c r="H9" s="5"/>
      <c r="I9" s="5" t="s">
        <v>32</v>
      </c>
      <c r="J9" s="5"/>
      <c r="K9" s="5"/>
      <c r="L9" s="5"/>
      <c r="M9" s="5"/>
      <c r="N9" s="5"/>
      <c r="O9" s="5" t="s">
        <v>38</v>
      </c>
      <c r="P9" s="5" t="s">
        <v>38</v>
      </c>
      <c r="Q9" s="5"/>
      <c r="R9" s="5"/>
      <c r="S9" s="5"/>
      <c r="T9" s="5"/>
      <c r="U9" s="5"/>
      <c r="V9" s="5"/>
      <c r="W9" s="5"/>
      <c r="X9" s="5"/>
      <c r="Y9" s="5"/>
      <c r="Z9" s="6" t="n">
        <f aca="false">IF($A9="","",COUNTIF(B9:Y9,"?*"))</f>
        <v>6</v>
      </c>
      <c r="AA9" s="6" t="n">
        <f aca="false">IF($A9="","",COUNTIF(B9:Y9,"*A*"))</f>
        <v>0</v>
      </c>
    </row>
    <row r="10" customFormat="false" ht="15" hidden="false" customHeight="false" outlineLevel="0" collapsed="false">
      <c r="A10" s="4" t="s">
        <v>7</v>
      </c>
      <c r="B10" s="5" t="s">
        <v>31</v>
      </c>
      <c r="C10" s="5"/>
      <c r="D10" s="5" t="s">
        <v>32</v>
      </c>
      <c r="E10" s="5" t="s">
        <v>33</v>
      </c>
      <c r="F10" s="5" t="s">
        <v>32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 t="s">
        <v>32</v>
      </c>
      <c r="Y10" s="5"/>
      <c r="Z10" s="6" t="n">
        <f aca="false">IF($A10="","",COUNTIF(B10:Y10,"?*"))</f>
        <v>5</v>
      </c>
      <c r="AA10" s="6" t="n">
        <f aca="false">IF($A10="","",COUNTIF(B10:Y10,"*A*"))</f>
        <v>0</v>
      </c>
    </row>
    <row r="11" customFormat="false" ht="15" hidden="false" customHeight="false" outlineLevel="0" collapsed="false">
      <c r="A11" s="4" t="s">
        <v>41</v>
      </c>
      <c r="B11" s="5" t="s">
        <v>32</v>
      </c>
      <c r="C11" s="5"/>
      <c r="D11" s="5" t="s">
        <v>31</v>
      </c>
      <c r="E11" s="5" t="s">
        <v>33</v>
      </c>
      <c r="F11" s="5" t="s">
        <v>33</v>
      </c>
      <c r="G11" s="5" t="s">
        <v>32</v>
      </c>
      <c r="H11" s="5"/>
      <c r="I11" s="5"/>
      <c r="J11" s="5"/>
      <c r="K11" s="5"/>
      <c r="L11" s="5"/>
      <c r="M11" s="5"/>
      <c r="N11" s="5"/>
      <c r="O11" s="5"/>
      <c r="P11" s="5" t="s">
        <v>38</v>
      </c>
      <c r="Q11" s="5"/>
      <c r="R11" s="5"/>
      <c r="S11" s="5"/>
      <c r="T11" s="5"/>
      <c r="U11" s="5"/>
      <c r="V11" s="5"/>
      <c r="W11" s="5"/>
      <c r="X11" s="5" t="s">
        <v>32</v>
      </c>
      <c r="Y11" s="5"/>
      <c r="Z11" s="6" t="n">
        <f aca="false">IF($A11="","",COUNTIF(B11:Y11,"?*"))</f>
        <v>7</v>
      </c>
      <c r="AA11" s="6" t="n">
        <f aca="false">IF($A11="","",COUNTIF(B11:Y11,"*A*"))</f>
        <v>0</v>
      </c>
    </row>
    <row r="12" customFormat="false" ht="15" hidden="false" customHeight="false" outlineLevel="0" collapsed="false">
      <c r="A12" s="4" t="s">
        <v>42</v>
      </c>
      <c r="B12" s="5" t="s">
        <v>32</v>
      </c>
      <c r="C12" s="5"/>
      <c r="D12" s="5" t="s">
        <v>33</v>
      </c>
      <c r="E12" s="5"/>
      <c r="F12" s="5"/>
      <c r="G12" s="5" t="s">
        <v>37</v>
      </c>
      <c r="H12" s="5"/>
      <c r="I12" s="5"/>
      <c r="J12" s="5"/>
      <c r="K12" s="5" t="s">
        <v>38</v>
      </c>
      <c r="L12" s="5" t="s">
        <v>32</v>
      </c>
      <c r="M12" s="5" t="s">
        <v>32</v>
      </c>
      <c r="N12" s="5"/>
      <c r="O12" s="5" t="s">
        <v>32</v>
      </c>
      <c r="P12" s="5" t="s">
        <v>38</v>
      </c>
      <c r="Q12" s="5"/>
      <c r="R12" s="5" t="s">
        <v>32</v>
      </c>
      <c r="S12" s="5"/>
      <c r="T12" s="5"/>
      <c r="U12" s="5"/>
      <c r="V12" s="5"/>
      <c r="W12" s="5"/>
      <c r="X12" s="5" t="s">
        <v>32</v>
      </c>
      <c r="Y12" s="5"/>
      <c r="Z12" s="6" t="n">
        <f aca="false">IF($A12="","",COUNTIF(B12:Y12,"?*"))</f>
        <v>10</v>
      </c>
      <c r="AA12" s="6" t="n">
        <f aca="false">IF($A12="","",COUNTIF(B12:Y12,"*A*"))</f>
        <v>1</v>
      </c>
    </row>
    <row r="13" customFormat="false" ht="15" hidden="false" customHeight="false" outlineLevel="0" collapsed="false">
      <c r="A13" s="4" t="s">
        <v>43</v>
      </c>
      <c r="B13" s="5" t="s">
        <v>32</v>
      </c>
      <c r="C13" s="5"/>
      <c r="D13" s="5" t="s">
        <v>33</v>
      </c>
      <c r="E13" s="5"/>
      <c r="F13" s="5"/>
      <c r="G13" s="5" t="s">
        <v>38</v>
      </c>
      <c r="H13" s="5"/>
      <c r="I13" s="5"/>
      <c r="J13" s="5"/>
      <c r="K13" s="5" t="s">
        <v>38</v>
      </c>
      <c r="L13" s="5" t="s">
        <v>32</v>
      </c>
      <c r="M13" s="5" t="s">
        <v>32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6" t="n">
        <f aca="false">IF($A13="","",COUNTIF(B13:Y13,"?*"))</f>
        <v>6</v>
      </c>
      <c r="AA13" s="6" t="n">
        <f aca="false">IF($A13="","",COUNTIF(B13:Y13,"*A*"))</f>
        <v>0</v>
      </c>
    </row>
    <row r="14" customFormat="false" ht="15" hidden="false" customHeight="false" outlineLevel="0" collapsed="false">
      <c r="A14" s="4" t="s">
        <v>44</v>
      </c>
      <c r="B14" s="5"/>
      <c r="C14" s="5"/>
      <c r="D14" s="5" t="s">
        <v>32</v>
      </c>
      <c r="E14" s="5"/>
      <c r="F14" s="5"/>
      <c r="G14" s="5"/>
      <c r="H14" s="5"/>
      <c r="I14" s="5" t="s">
        <v>38</v>
      </c>
      <c r="J14" s="5"/>
      <c r="K14" s="5"/>
      <c r="L14" s="5"/>
      <c r="M14" s="5" t="s">
        <v>33</v>
      </c>
      <c r="N14" s="5"/>
      <c r="O14" s="5"/>
      <c r="P14" s="5" t="s">
        <v>38</v>
      </c>
      <c r="Q14" s="5"/>
      <c r="R14" s="5"/>
      <c r="S14" s="5"/>
      <c r="T14" s="5"/>
      <c r="U14" s="5"/>
      <c r="V14" s="5"/>
      <c r="W14" s="5"/>
      <c r="X14" s="5"/>
      <c r="Y14" s="5"/>
      <c r="Z14" s="6" t="n">
        <f aca="false">IF($A14="","",COUNTIF(B14:Y14,"?*"))</f>
        <v>4</v>
      </c>
      <c r="AA14" s="6" t="n">
        <f aca="false">IF($A14="","",COUNTIF(B14:Y14,"*A*"))</f>
        <v>0</v>
      </c>
    </row>
    <row r="15" customFormat="false" ht="15" hidden="false" customHeight="false" outlineLevel="0" collapsed="false">
      <c r="A15" s="4" t="s">
        <v>45</v>
      </c>
      <c r="B15" s="5"/>
      <c r="C15" s="5"/>
      <c r="D15" s="5"/>
      <c r="E15" s="5"/>
      <c r="F15" s="5"/>
      <c r="G15" s="5"/>
      <c r="H15" s="5" t="s">
        <v>32</v>
      </c>
      <c r="I15" s="5" t="s">
        <v>33</v>
      </c>
      <c r="J15" s="5" t="s">
        <v>38</v>
      </c>
      <c r="K15" s="5" t="s">
        <v>38</v>
      </c>
      <c r="L15" s="5" t="s">
        <v>38</v>
      </c>
      <c r="M15" s="5"/>
      <c r="N15" s="5"/>
      <c r="O15" s="5"/>
      <c r="P15" s="5" t="s">
        <v>38</v>
      </c>
      <c r="Q15" s="5"/>
      <c r="R15" s="5"/>
      <c r="S15" s="5"/>
      <c r="T15" s="5"/>
      <c r="U15" s="5"/>
      <c r="V15" s="5"/>
      <c r="W15" s="5"/>
      <c r="X15" s="5" t="s">
        <v>32</v>
      </c>
      <c r="Y15" s="5"/>
      <c r="Z15" s="6" t="n">
        <f aca="false">IF($A15="","",COUNTIF(B15:Y15,"?*"))</f>
        <v>7</v>
      </c>
      <c r="AA15" s="6" t="n">
        <f aca="false">IF($A15="","",COUNTIF(B15:Y15,"*A*"))</f>
        <v>0</v>
      </c>
    </row>
    <row r="16" customFormat="false" ht="15" hidden="false" customHeight="false" outlineLevel="0" collapsed="false">
      <c r="A16" s="4" t="s">
        <v>46</v>
      </c>
      <c r="B16" s="5"/>
      <c r="C16" s="5"/>
      <c r="D16" s="5"/>
      <c r="E16" s="5"/>
      <c r="F16" s="5"/>
      <c r="G16" s="5"/>
      <c r="H16" s="5"/>
      <c r="I16" s="5" t="s">
        <v>32</v>
      </c>
      <c r="J16" s="5" t="s">
        <v>33</v>
      </c>
      <c r="K16" s="5" t="s">
        <v>32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 t="s">
        <v>32</v>
      </c>
      <c r="Y16" s="5"/>
      <c r="Z16" s="6" t="n">
        <f aca="false">IF($A16="","",COUNTIF(B16:Y16,"?*"))</f>
        <v>4</v>
      </c>
      <c r="AA16" s="6" t="n">
        <f aca="false">IF($A16="","",COUNTIF(B16:Y16,"*A*"))</f>
        <v>0</v>
      </c>
    </row>
    <row r="17" customFormat="false" ht="15" hidden="false" customHeight="false" outlineLevel="0" collapsed="false">
      <c r="A17" s="4" t="s">
        <v>47</v>
      </c>
      <c r="B17" s="5" t="s">
        <v>32</v>
      </c>
      <c r="C17" s="5"/>
      <c r="D17" s="5" t="s">
        <v>32</v>
      </c>
      <c r="E17" s="5"/>
      <c r="F17" s="5"/>
      <c r="G17" s="5"/>
      <c r="H17" s="5"/>
      <c r="I17" s="5" t="s">
        <v>32</v>
      </c>
      <c r="J17" s="5"/>
      <c r="K17" s="5" t="s">
        <v>32</v>
      </c>
      <c r="L17" s="5" t="s">
        <v>33</v>
      </c>
      <c r="M17" s="5"/>
      <c r="N17" s="5"/>
      <c r="O17" s="5"/>
      <c r="P17" s="5" t="s">
        <v>38</v>
      </c>
      <c r="Q17" s="5"/>
      <c r="R17" s="5"/>
      <c r="S17" s="5"/>
      <c r="T17" s="5"/>
      <c r="U17" s="5"/>
      <c r="V17" s="5"/>
      <c r="W17" s="5"/>
      <c r="X17" s="5"/>
      <c r="Y17" s="5"/>
      <c r="Z17" s="6" t="n">
        <f aca="false">IF($A17="","",COUNTIF(B17:Y17,"?*"))</f>
        <v>6</v>
      </c>
      <c r="AA17" s="6" t="n">
        <f aca="false">IF($A17="","",COUNTIF(B17:Y17,"*A*"))</f>
        <v>0</v>
      </c>
    </row>
    <row r="18" customFormat="false" ht="15" hidden="false" customHeight="false" outlineLevel="0" collapsed="false">
      <c r="A18" s="4" t="s">
        <v>48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 t="s">
        <v>31</v>
      </c>
      <c r="M18" s="5"/>
      <c r="N18" s="5" t="s">
        <v>38</v>
      </c>
      <c r="O18" s="5"/>
      <c r="P18" s="5" t="s">
        <v>38</v>
      </c>
      <c r="Q18" s="5"/>
      <c r="R18" s="5"/>
      <c r="S18" s="5"/>
      <c r="T18" s="5"/>
      <c r="U18" s="5"/>
      <c r="V18" s="5"/>
      <c r="W18" s="5"/>
      <c r="X18" s="5"/>
      <c r="Y18" s="5"/>
      <c r="Z18" s="6" t="n">
        <f aca="false">IF($A18="","",COUNTIF(B18:Y18,"?*"))</f>
        <v>3</v>
      </c>
      <c r="AA18" s="6" t="n">
        <f aca="false">IF($A18="","",COUNTIF(B18:Y18,"*A*"))</f>
        <v>0</v>
      </c>
    </row>
    <row r="19" customFormat="false" ht="15" hidden="false" customHeight="false" outlineLevel="0" collapsed="false">
      <c r="A19" s="4" t="s">
        <v>49</v>
      </c>
      <c r="B19" s="5"/>
      <c r="C19" s="5"/>
      <c r="D19" s="5"/>
      <c r="E19" s="5"/>
      <c r="F19" s="5"/>
      <c r="G19" s="5"/>
      <c r="H19" s="5" t="s">
        <v>33</v>
      </c>
      <c r="I19" s="5" t="s">
        <v>32</v>
      </c>
      <c r="J19" s="5"/>
      <c r="K19" s="5"/>
      <c r="L19" s="5"/>
      <c r="M19" s="5"/>
      <c r="N19" s="5"/>
      <c r="O19" s="5"/>
      <c r="P19" s="5"/>
      <c r="Q19" s="5" t="s">
        <v>32</v>
      </c>
      <c r="R19" s="5"/>
      <c r="S19" s="5"/>
      <c r="T19" s="5"/>
      <c r="U19" s="5"/>
      <c r="V19" s="5" t="s">
        <v>33</v>
      </c>
      <c r="W19" s="5"/>
      <c r="X19" s="5" t="s">
        <v>32</v>
      </c>
      <c r="Y19" s="5"/>
      <c r="Z19" s="6" t="n">
        <f aca="false">IF($A19="","",COUNTIF(B19:Y19,"?*"))</f>
        <v>5</v>
      </c>
      <c r="AA19" s="6" t="n">
        <f aca="false">IF($A19="","",COUNTIF(B19:Y19,"*A*"))</f>
        <v>0</v>
      </c>
    </row>
    <row r="20" customFormat="false" ht="15" hidden="false" customHeight="false" outlineLevel="0" collapsed="false">
      <c r="A20" s="4" t="s">
        <v>50</v>
      </c>
      <c r="B20" s="5"/>
      <c r="C20" s="5"/>
      <c r="D20" s="5" t="s">
        <v>32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 t="s">
        <v>33</v>
      </c>
      <c r="P20" s="5"/>
      <c r="Q20" s="5" t="s">
        <v>32</v>
      </c>
      <c r="R20" s="5" t="s">
        <v>32</v>
      </c>
      <c r="S20" s="5"/>
      <c r="T20" s="5"/>
      <c r="U20" s="5"/>
      <c r="V20" s="5"/>
      <c r="W20" s="5"/>
      <c r="X20" s="5" t="s">
        <v>32</v>
      </c>
      <c r="Y20" s="5"/>
      <c r="Z20" s="6" t="n">
        <f aca="false">IF($A20="","",COUNTIF(B20:Y20,"?*"))</f>
        <v>5</v>
      </c>
      <c r="AA20" s="6" t="n">
        <f aca="false">IF($A20="","",COUNTIF(B20:Y20,"*A*"))</f>
        <v>0</v>
      </c>
    </row>
    <row r="21" customFormat="false" ht="15" hidden="false" customHeight="false" outlineLevel="0" collapsed="false">
      <c r="A21" s="4" t="s">
        <v>51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 t="s">
        <v>37</v>
      </c>
      <c r="O21" s="5"/>
      <c r="P21" s="5" t="s">
        <v>33</v>
      </c>
      <c r="Q21" s="5" t="s">
        <v>32</v>
      </c>
      <c r="R21" s="5" t="s">
        <v>32</v>
      </c>
      <c r="S21" s="5"/>
      <c r="T21" s="5"/>
      <c r="U21" s="5"/>
      <c r="V21" s="5"/>
      <c r="W21" s="5"/>
      <c r="X21" s="5" t="s">
        <v>32</v>
      </c>
      <c r="Y21" s="5"/>
      <c r="Z21" s="6" t="n">
        <f aca="false">IF($A21="","",COUNTIF(B21:Y21,"?*"))</f>
        <v>5</v>
      </c>
      <c r="AA21" s="6" t="n">
        <f aca="false">IF($A21="","",COUNTIF(B21:Y21,"*A*"))</f>
        <v>1</v>
      </c>
    </row>
    <row r="22" customFormat="false" ht="15" hidden="false" customHeight="false" outlineLevel="0" collapsed="false">
      <c r="A22" s="4" t="s">
        <v>52</v>
      </c>
      <c r="B22" s="5"/>
      <c r="C22" s="5" t="s">
        <v>32</v>
      </c>
      <c r="D22" s="5"/>
      <c r="E22" s="5"/>
      <c r="F22" s="5"/>
      <c r="G22" s="5"/>
      <c r="H22" s="5" t="s">
        <v>32</v>
      </c>
      <c r="I22" s="5"/>
      <c r="J22" s="5"/>
      <c r="K22" s="5"/>
      <c r="L22" s="5"/>
      <c r="M22" s="5"/>
      <c r="N22" s="5" t="s">
        <v>32</v>
      </c>
      <c r="O22" s="5" t="s">
        <v>33</v>
      </c>
      <c r="P22" s="5" t="s">
        <v>33</v>
      </c>
      <c r="Q22" s="5" t="s">
        <v>33</v>
      </c>
      <c r="R22" s="5" t="s">
        <v>33</v>
      </c>
      <c r="S22" s="5" t="s">
        <v>32</v>
      </c>
      <c r="T22" s="5" t="s">
        <v>33</v>
      </c>
      <c r="U22" s="5"/>
      <c r="V22" s="5" t="s">
        <v>33</v>
      </c>
      <c r="W22" s="5"/>
      <c r="X22" s="5" t="s">
        <v>32</v>
      </c>
      <c r="Y22" s="5"/>
      <c r="Z22" s="6" t="n">
        <f aca="false">IF($A22="","",COUNTIF(B22:Y22,"?*"))</f>
        <v>11</v>
      </c>
      <c r="AA22" s="6" t="n">
        <f aca="false">IF($A22="","",COUNTIF(B22:Y22,"*A*"))</f>
        <v>0</v>
      </c>
    </row>
    <row r="23" customFormat="false" ht="15" hidden="false" customHeight="false" outlineLevel="0" collapsed="false">
      <c r="A23" s="4" t="s">
        <v>53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 t="s">
        <v>33</v>
      </c>
      <c r="T23" s="5"/>
      <c r="U23" s="5" t="s">
        <v>33</v>
      </c>
      <c r="V23" s="5"/>
      <c r="W23" s="5"/>
      <c r="X23" s="5" t="s">
        <v>32</v>
      </c>
      <c r="Y23" s="5"/>
      <c r="Z23" s="6" t="n">
        <f aca="false">IF($A23="","",COUNTIF(B23:Y23,"?*"))</f>
        <v>3</v>
      </c>
      <c r="AA23" s="6" t="n">
        <f aca="false">IF($A23="","",COUNTIF(B23:Y23,"*A*"))</f>
        <v>0</v>
      </c>
    </row>
    <row r="24" customFormat="false" ht="15" hidden="false" customHeight="false" outlineLevel="0" collapsed="false">
      <c r="A24" s="4" t="s">
        <v>54</v>
      </c>
      <c r="B24" s="5" t="s">
        <v>32</v>
      </c>
      <c r="C24" s="5" t="s">
        <v>32</v>
      </c>
      <c r="D24" s="5" t="s">
        <v>32</v>
      </c>
      <c r="E24" s="5" t="s">
        <v>32</v>
      </c>
      <c r="F24" s="5" t="s">
        <v>32</v>
      </c>
      <c r="G24" s="5" t="s">
        <v>32</v>
      </c>
      <c r="H24" s="5" t="s">
        <v>32</v>
      </c>
      <c r="I24" s="5" t="s">
        <v>32</v>
      </c>
      <c r="J24" s="5" t="s">
        <v>38</v>
      </c>
      <c r="K24" s="5" t="s">
        <v>32</v>
      </c>
      <c r="L24" s="5" t="s">
        <v>32</v>
      </c>
      <c r="M24" s="5" t="s">
        <v>32</v>
      </c>
      <c r="N24" s="5" t="s">
        <v>32</v>
      </c>
      <c r="O24" s="5" t="s">
        <v>32</v>
      </c>
      <c r="P24" s="5" t="s">
        <v>32</v>
      </c>
      <c r="Q24" s="5" t="s">
        <v>32</v>
      </c>
      <c r="R24" s="5" t="s">
        <v>32</v>
      </c>
      <c r="S24" s="5" t="s">
        <v>32</v>
      </c>
      <c r="T24" s="5" t="s">
        <v>32</v>
      </c>
      <c r="U24" s="5" t="s">
        <v>32</v>
      </c>
      <c r="V24" s="5" t="s">
        <v>38</v>
      </c>
      <c r="W24" s="5" t="s">
        <v>38</v>
      </c>
      <c r="X24" s="5" t="s">
        <v>32</v>
      </c>
      <c r="Y24" s="5"/>
      <c r="Z24" s="6" t="n">
        <f aca="false">IF($A24="","",COUNTIF(B24:Y24,"?*"))</f>
        <v>23</v>
      </c>
      <c r="AA24" s="6" t="n">
        <f aca="false">IF($A24="","",COUNTIF(B24:Y24,"*A*"))</f>
        <v>0</v>
      </c>
    </row>
    <row r="25" customFormat="false" ht="15" hidden="false" customHeight="false" outlineLevel="0" collapsed="false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6" t="str">
        <f aca="false">IF($A25="","",COUNTIF(B25:Y25,"?*"))</f>
        <v/>
      </c>
      <c r="AA25" s="6" t="str">
        <f aca="false">IF($A25="","",COUNTIF(B25:Y25,"*A*"))</f>
        <v/>
      </c>
    </row>
    <row r="26" customFormat="false" ht="15" hidden="false" customHeight="false" outlineLevel="0" collapsed="false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6" t="str">
        <f aca="false">IF($A26="","",COUNTIF(B26:Y26,"?*"))</f>
        <v/>
      </c>
      <c r="AA26" s="6" t="str">
        <f aca="false">IF($A26="","",COUNTIF(B26:Y26,"*A*"))</f>
        <v/>
      </c>
    </row>
    <row r="27" customFormat="false" ht="15" hidden="false" customHeight="false" outlineLevel="0" collapsed="false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6" t="str">
        <f aca="false">IF($A27="","",COUNTIF(B27:Y27,"?*"))</f>
        <v/>
      </c>
      <c r="AA27" s="6" t="str">
        <f aca="false">IF($A27="","",COUNTIF(B27:Y27,"*A*"))</f>
        <v/>
      </c>
    </row>
    <row r="28" customFormat="false" ht="15" hidden="false" customHeight="false" outlineLevel="0" collapsed="false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6" t="str">
        <f aca="false">IF($A28="","",COUNTIF(B28:Y28,"?*"))</f>
        <v/>
      </c>
      <c r="AA28" s="6" t="str">
        <f aca="false">IF($A28="","",COUNTIF(B28:Y28,"*A*"))</f>
        <v/>
      </c>
    </row>
    <row r="29" customFormat="false" ht="15" hidden="false" customHeight="false" outlineLevel="0" collapsed="false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6" t="str">
        <f aca="false">IF($A29="","",COUNTIF(B29:Y29,"?*"))</f>
        <v/>
      </c>
      <c r="AA29" s="6" t="str">
        <f aca="false">IF($A29="","",COUNTIF(B29:Y29,"*A*"))</f>
        <v/>
      </c>
    </row>
    <row r="30" customFormat="false" ht="15" hidden="false" customHeight="false" outlineLevel="0" collapsed="false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6" t="str">
        <f aca="false">IF($A30="","",COUNTIF(B30:Y30,"?*"))</f>
        <v/>
      </c>
      <c r="AA30" s="6" t="str">
        <f aca="false">IF($A30="","",COUNTIF(B30:Y30,"*A*"))</f>
        <v/>
      </c>
    </row>
    <row r="31" customFormat="false" ht="15" hidden="false" customHeight="false" outlineLevel="0" collapsed="false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6" t="str">
        <f aca="false">IF($A31="","",COUNTIF(B31:Y31,"?*"))</f>
        <v/>
      </c>
      <c r="AA31" s="6" t="str">
        <f aca="false">IF($A31="","",COUNTIF(B31:Y31,"*A*"))</f>
        <v/>
      </c>
    </row>
    <row r="32" customFormat="false" ht="15" hidden="false" customHeight="false" outlineLevel="0" collapsed="false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6" t="str">
        <f aca="false">IF($A32="","",COUNTIF(B32:Y32,"?*"))</f>
        <v/>
      </c>
      <c r="AA32" s="6" t="str">
        <f aca="false">IF($A32="","",COUNTIF(B32:Y32,"*A*"))</f>
        <v/>
      </c>
    </row>
    <row r="33" customFormat="false" ht="15" hidden="false" customHeight="false" outlineLevel="0" collapsed="false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6" t="str">
        <f aca="false">IF($A33="","",COUNTIF(B33:Y33,"?*"))</f>
        <v/>
      </c>
      <c r="AA33" s="6" t="str">
        <f aca="false">IF($A33="","",COUNTIF(B33:Y33,"*A*"))</f>
        <v/>
      </c>
    </row>
    <row r="34" customFormat="false" ht="15" hidden="false" customHeight="false" outlineLevel="0" collapsed="false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6" t="str">
        <f aca="false">IF($A34="","",COUNTIF(B34:Y34,"?*"))</f>
        <v/>
      </c>
      <c r="AA34" s="6" t="str">
        <f aca="false">IF($A34="","",COUNTIF(B34:Y34,"*A*"))</f>
        <v/>
      </c>
    </row>
    <row r="36" customFormat="false" ht="15" hidden="false" customHeight="false" outlineLevel="0" collapsed="false">
      <c r="A36" s="7" t="s">
        <v>55</v>
      </c>
    </row>
    <row r="37" customFormat="false" ht="15" hidden="false" customHeight="false" outlineLevel="0" collapsed="false">
      <c r="A37" s="7" t="s">
        <v>56</v>
      </c>
    </row>
  </sheetData>
  <conditionalFormatting sqref="B5:Y34">
    <cfRule type="expression" priority="2" aboveAverage="0" equalAverage="0" bottom="0" percent="0" rank="0" text="" dxfId="0">
      <formula>ISNUMBER(SEARCH("A",B5))</formula>
    </cfRule>
    <cfRule type="expression" priority="3" aboveAverage="0" equalAverage="0" bottom="0" percent="0" rank="0" text="" dxfId="1">
      <formula>OR(ISNUMBER(SEARCH("C",B5)),ISNUMBER(SEARCH("E",B5)))</formula>
    </cfRule>
    <cfRule type="expression" priority="4" aboveAverage="0" equalAverage="0" bottom="0" percent="0" rank="0" text="" dxfId="2">
      <formula>ISNUMBER(SEARCH("V",B5))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26"/>
  </cols>
  <sheetData>
    <row r="1" customFormat="false" ht="17.35" hidden="false" customHeight="false" outlineLevel="0" collapsed="false">
      <c r="A1" s="1" t="s">
        <v>57</v>
      </c>
    </row>
    <row r="2" customFormat="false" ht="15" hidden="false" customHeight="false" outlineLevel="0" collapsed="false">
      <c r="A2" s="2" t="s">
        <v>58</v>
      </c>
    </row>
    <row r="4" customFormat="false" ht="15" hidden="false" customHeight="false" outlineLevel="0" collapsed="false">
      <c r="A4" s="3" t="s">
        <v>59</v>
      </c>
      <c r="B4" s="3" t="s">
        <v>60</v>
      </c>
      <c r="C4" s="3" t="s">
        <v>61</v>
      </c>
      <c r="D4" s="3" t="s">
        <v>62</v>
      </c>
      <c r="E4" s="3" t="s">
        <v>63</v>
      </c>
    </row>
    <row r="5" customFormat="false" ht="15" hidden="false" customHeight="false" outlineLevel="0" collapsed="false">
      <c r="A5" s="8" t="s">
        <v>64</v>
      </c>
      <c r="B5" s="8" t="s">
        <v>39</v>
      </c>
      <c r="C5" s="9" t="n">
        <v>0</v>
      </c>
      <c r="D5" s="8" t="s">
        <v>65</v>
      </c>
      <c r="E5" s="8" t="s">
        <v>36</v>
      </c>
    </row>
    <row r="6" customFormat="false" ht="15" hidden="false" customHeight="false" outlineLevel="0" collapsed="false">
      <c r="A6" s="8" t="s">
        <v>66</v>
      </c>
      <c r="B6" s="8" t="s">
        <v>36</v>
      </c>
      <c r="C6" s="9" t="n">
        <v>3</v>
      </c>
      <c r="D6" s="8" t="s">
        <v>65</v>
      </c>
      <c r="E6" s="8" t="s">
        <v>67</v>
      </c>
    </row>
    <row r="7" customFormat="false" ht="15" hidden="false" customHeight="false" outlineLevel="0" collapsed="false">
      <c r="A7" s="8" t="s">
        <v>68</v>
      </c>
      <c r="B7" s="8" t="s">
        <v>36</v>
      </c>
      <c r="C7" s="9" t="n">
        <v>50000</v>
      </c>
      <c r="D7" s="8" t="s">
        <v>69</v>
      </c>
      <c r="E7" s="8" t="s">
        <v>67</v>
      </c>
    </row>
    <row r="8" customFormat="false" ht="15" hidden="false" customHeight="false" outlineLevel="0" collapsed="false">
      <c r="A8" s="8" t="s">
        <v>70</v>
      </c>
      <c r="B8" s="8" t="s">
        <v>71</v>
      </c>
      <c r="C8" s="9" t="n">
        <v>100000</v>
      </c>
      <c r="D8" s="8" t="s">
        <v>72</v>
      </c>
      <c r="E8" s="8" t="s">
        <v>67</v>
      </c>
    </row>
    <row r="9" customFormat="false" ht="15" hidden="false" customHeight="false" outlineLevel="0" collapsed="false">
      <c r="A9" s="8" t="s">
        <v>73</v>
      </c>
      <c r="B9" s="8" t="s">
        <v>49</v>
      </c>
      <c r="C9" s="9" t="n">
        <v>500000</v>
      </c>
      <c r="D9" s="8" t="s">
        <v>74</v>
      </c>
      <c r="E9" s="8" t="s">
        <v>67</v>
      </c>
    </row>
    <row r="10" customFormat="false" ht="15" hidden="false" customHeight="false" outlineLevel="0" collapsed="false">
      <c r="A10" s="8" t="s">
        <v>75</v>
      </c>
      <c r="B10" s="8" t="s">
        <v>49</v>
      </c>
      <c r="C10" s="9" t="n">
        <v>2</v>
      </c>
      <c r="D10" s="8" t="s">
        <v>76</v>
      </c>
      <c r="E10" s="8" t="s">
        <v>77</v>
      </c>
    </row>
    <row r="11" customFormat="false" ht="15" hidden="false" customHeight="false" outlineLevel="0" collapsed="false">
      <c r="A11" s="8" t="s">
        <v>78</v>
      </c>
      <c r="B11" s="8" t="s">
        <v>79</v>
      </c>
      <c r="C11" s="9" t="n">
        <v>100000</v>
      </c>
      <c r="D11" s="8" t="s">
        <v>80</v>
      </c>
      <c r="E11" s="8" t="s">
        <v>81</v>
      </c>
    </row>
    <row r="12" customFormat="false" ht="15" hidden="false" customHeight="false" outlineLevel="0" collapsed="false">
      <c r="A12" s="8" t="s">
        <v>82</v>
      </c>
      <c r="B12" s="8" t="s">
        <v>79</v>
      </c>
      <c r="C12" s="9" t="n">
        <v>1000000</v>
      </c>
      <c r="D12" s="8" t="s">
        <v>83</v>
      </c>
      <c r="E12" s="8" t="s">
        <v>81</v>
      </c>
    </row>
    <row r="13" customFormat="false" ht="15" hidden="false" customHeight="false" outlineLevel="0" collapsed="false">
      <c r="A13" s="8" t="s">
        <v>84</v>
      </c>
      <c r="B13" s="8" t="s">
        <v>85</v>
      </c>
      <c r="C13" s="9" t="n">
        <v>2000000</v>
      </c>
      <c r="D13" s="8" t="s">
        <v>86</v>
      </c>
      <c r="E13" s="8" t="s">
        <v>87</v>
      </c>
    </row>
    <row r="14" customFormat="false" ht="15" hidden="false" customHeight="false" outlineLevel="0" collapsed="false">
      <c r="A14" s="8" t="s">
        <v>88</v>
      </c>
      <c r="B14" s="8" t="s">
        <v>85</v>
      </c>
      <c r="C14" s="9" t="n">
        <v>24</v>
      </c>
      <c r="D14" s="8" t="s">
        <v>89</v>
      </c>
      <c r="E14" s="8" t="s">
        <v>90</v>
      </c>
    </row>
    <row r="15" customFormat="false" ht="15" hidden="false" customHeight="false" outlineLevel="0" collapsed="false">
      <c r="A15" s="8" t="s">
        <v>91</v>
      </c>
      <c r="B15" s="8" t="s">
        <v>92</v>
      </c>
      <c r="C15" s="9" t="n">
        <v>5</v>
      </c>
      <c r="D15" s="8" t="s">
        <v>93</v>
      </c>
      <c r="E15" s="8" t="s">
        <v>67</v>
      </c>
    </row>
    <row r="16" customFormat="false" ht="15" hidden="false" customHeight="false" outlineLevel="0" collapsed="false">
      <c r="A16" s="8" t="s">
        <v>94</v>
      </c>
      <c r="B16" s="8" t="s">
        <v>50</v>
      </c>
      <c r="C16" s="9" t="n">
        <v>500000</v>
      </c>
      <c r="D16" s="8" t="s">
        <v>95</v>
      </c>
      <c r="E16" s="8" t="s">
        <v>67</v>
      </c>
    </row>
    <row r="17" customFormat="false" ht="15" hidden="false" customHeight="false" outlineLevel="0" collapsed="false">
      <c r="A17" s="8" t="s">
        <v>96</v>
      </c>
      <c r="B17" s="8" t="s">
        <v>36</v>
      </c>
      <c r="C17" s="9" t="n">
        <v>0</v>
      </c>
      <c r="D17" s="8" t="s">
        <v>97</v>
      </c>
      <c r="E17" s="8" t="s">
        <v>67</v>
      </c>
    </row>
    <row r="18" customFormat="false" ht="15" hidden="false" customHeight="false" outlineLevel="0" collapsed="false">
      <c r="A18" s="8" t="s">
        <v>98</v>
      </c>
      <c r="B18" s="8" t="s">
        <v>36</v>
      </c>
      <c r="C18" s="9" t="n">
        <v>20000</v>
      </c>
      <c r="D18" s="8" t="s">
        <v>99</v>
      </c>
      <c r="E18" s="8" t="s">
        <v>67</v>
      </c>
    </row>
    <row r="19" customFormat="false" ht="15" hidden="false" customHeight="false" outlineLevel="0" collapsed="false">
      <c r="A19" s="8" t="s">
        <v>100</v>
      </c>
      <c r="B19" s="8" t="s">
        <v>51</v>
      </c>
      <c r="C19" s="9" t="n">
        <v>100000</v>
      </c>
      <c r="D19" s="8" t="s">
        <v>101</v>
      </c>
      <c r="E19" s="8" t="s">
        <v>67</v>
      </c>
    </row>
    <row r="20" customFormat="false" ht="15" hidden="false" customHeight="false" outlineLevel="0" collapsed="false">
      <c r="A20" s="8" t="s">
        <v>102</v>
      </c>
      <c r="B20" s="8" t="s">
        <v>52</v>
      </c>
      <c r="C20" s="9" t="n">
        <v>100000</v>
      </c>
      <c r="D20" s="8" t="s">
        <v>103</v>
      </c>
      <c r="E20" s="8" t="s">
        <v>104</v>
      </c>
    </row>
    <row r="21" customFormat="false" ht="15" hidden="false" customHeight="false" outlineLevel="0" collapsed="false">
      <c r="A21" s="8" t="s">
        <v>105</v>
      </c>
      <c r="B21" s="8" t="s">
        <v>79</v>
      </c>
      <c r="C21" s="9" t="n">
        <v>0</v>
      </c>
      <c r="D21" s="8" t="s">
        <v>106</v>
      </c>
      <c r="E21" s="8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8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107</v>
      </c>
    </row>
    <row r="2" customFormat="false" ht="15" hidden="false" customHeight="false" outlineLevel="0" collapsed="false">
      <c r="A2" s="2" t="s">
        <v>108</v>
      </c>
    </row>
    <row r="4" customFormat="false" ht="15" hidden="false" customHeight="false" outlineLevel="0" collapsed="false">
      <c r="A4" s="3" t="s">
        <v>3</v>
      </c>
      <c r="B4" s="3" t="s">
        <v>109</v>
      </c>
      <c r="C4" s="3" t="s">
        <v>110</v>
      </c>
    </row>
    <row r="5" customFormat="false" ht="15" hidden="false" customHeight="false" outlineLevel="0" collapsed="false">
      <c r="A5" s="10" t="s">
        <v>36</v>
      </c>
      <c r="B5" s="10" t="s">
        <v>111</v>
      </c>
      <c r="C5" s="10" t="s">
        <v>112</v>
      </c>
    </row>
    <row r="6" customFormat="false" ht="15" hidden="false" customHeight="false" outlineLevel="0" collapsed="false">
      <c r="A6" s="10" t="s">
        <v>39</v>
      </c>
      <c r="B6" s="10" t="s">
        <v>113</v>
      </c>
      <c r="C6" s="10" t="s">
        <v>114</v>
      </c>
    </row>
    <row r="7" customFormat="false" ht="15" hidden="false" customHeight="false" outlineLevel="0" collapsed="false">
      <c r="A7" s="10" t="s">
        <v>40</v>
      </c>
      <c r="B7" s="10" t="s">
        <v>115</v>
      </c>
      <c r="C7" s="10" t="s">
        <v>116</v>
      </c>
    </row>
    <row r="8" customFormat="false" ht="15" hidden="false" customHeight="false" outlineLevel="0" collapsed="false">
      <c r="A8" s="10" t="s">
        <v>44</v>
      </c>
      <c r="B8" s="10" t="s">
        <v>117</v>
      </c>
      <c r="C8" s="10" t="s">
        <v>118</v>
      </c>
    </row>
    <row r="9" customFormat="false" ht="15" hidden="false" customHeight="false" outlineLevel="0" collapsed="false">
      <c r="A9" s="10" t="s">
        <v>45</v>
      </c>
      <c r="B9" s="10" t="s">
        <v>11</v>
      </c>
      <c r="C9" s="10" t="s">
        <v>119</v>
      </c>
    </row>
    <row r="10" customFormat="false" ht="15" hidden="false" customHeight="false" outlineLevel="0" collapsed="false">
      <c r="A10" s="10" t="s">
        <v>46</v>
      </c>
      <c r="B10" s="10" t="s">
        <v>120</v>
      </c>
      <c r="C10" s="10" t="s">
        <v>121</v>
      </c>
    </row>
    <row r="11" customFormat="false" ht="15" hidden="false" customHeight="false" outlineLevel="0" collapsed="false">
      <c r="A11" s="10" t="s">
        <v>47</v>
      </c>
      <c r="B11" s="10" t="s">
        <v>122</v>
      </c>
      <c r="C11" s="10" t="s">
        <v>123</v>
      </c>
    </row>
    <row r="12" customFormat="false" ht="15" hidden="false" customHeight="false" outlineLevel="0" collapsed="false">
      <c r="A12" s="10" t="s">
        <v>48</v>
      </c>
      <c r="B12" s="10" t="s">
        <v>124</v>
      </c>
      <c r="C12" s="10" t="s">
        <v>125</v>
      </c>
    </row>
    <row r="13" customFormat="false" ht="15" hidden="false" customHeight="false" outlineLevel="0" collapsed="false">
      <c r="A13" s="10" t="s">
        <v>42</v>
      </c>
      <c r="B13" s="10" t="s">
        <v>126</v>
      </c>
      <c r="C13" s="10" t="s">
        <v>127</v>
      </c>
    </row>
    <row r="14" customFormat="false" ht="15" hidden="false" customHeight="false" outlineLevel="0" collapsed="false">
      <c r="A14" s="10" t="s">
        <v>41</v>
      </c>
      <c r="B14" s="10" t="s">
        <v>128</v>
      </c>
      <c r="C14" s="10" t="s">
        <v>129</v>
      </c>
    </row>
    <row r="15" customFormat="false" ht="15" hidden="false" customHeight="false" outlineLevel="0" collapsed="false">
      <c r="A15" s="10" t="s">
        <v>51</v>
      </c>
      <c r="B15" s="10" t="s">
        <v>130</v>
      </c>
      <c r="C15" s="10" t="s">
        <v>131</v>
      </c>
    </row>
    <row r="16" customFormat="false" ht="15" hidden="false" customHeight="false" outlineLevel="0" collapsed="false">
      <c r="A16" s="10" t="s">
        <v>50</v>
      </c>
      <c r="B16" s="10" t="s">
        <v>132</v>
      </c>
      <c r="C16" s="10" t="s">
        <v>133</v>
      </c>
    </row>
    <row r="17" customFormat="false" ht="23.85" hidden="false" customHeight="false" outlineLevel="0" collapsed="false">
      <c r="A17" s="10" t="s">
        <v>134</v>
      </c>
      <c r="B17" s="10" t="s">
        <v>135</v>
      </c>
      <c r="C17" s="10" t="s">
        <v>136</v>
      </c>
    </row>
    <row r="18" customFormat="false" ht="15" hidden="false" customHeight="false" outlineLevel="0" collapsed="false">
      <c r="A18" s="10" t="s">
        <v>52</v>
      </c>
      <c r="B18" s="10" t="s">
        <v>130</v>
      </c>
      <c r="C18" s="10" t="s">
        <v>137</v>
      </c>
    </row>
    <row r="19" customFormat="false" ht="15" hidden="false" customHeight="false" outlineLevel="0" collapsed="false">
      <c r="A19" s="10" t="s">
        <v>53</v>
      </c>
      <c r="B19" s="10" t="s">
        <v>138</v>
      </c>
      <c r="C19" s="10" t="s">
        <v>139</v>
      </c>
    </row>
    <row r="20" customFormat="false" ht="15" hidden="false" customHeight="false" outlineLevel="0" collapsed="false">
      <c r="A20" s="10" t="s">
        <v>54</v>
      </c>
      <c r="B20" s="10" t="s">
        <v>140</v>
      </c>
      <c r="C20" s="10" t="s">
        <v>141</v>
      </c>
    </row>
    <row r="21" customFormat="false" ht="23.85" hidden="false" customHeight="false" outlineLevel="0" collapsed="false">
      <c r="A21" s="10" t="s">
        <v>30</v>
      </c>
      <c r="B21" s="10" t="s">
        <v>142</v>
      </c>
      <c r="C21" s="10" t="s"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58"/>
    <col collapsed="false" customWidth="true" hidden="false" outlineLevel="0" max="4" min="4" style="0" width="18"/>
    <col collapsed="false" customWidth="true" hidden="false" outlineLevel="0" max="5" min="5" style="0" width="26"/>
  </cols>
  <sheetData>
    <row r="1" customFormat="false" ht="17.35" hidden="false" customHeight="false" outlineLevel="0" collapsed="false">
      <c r="A1" s="1" t="s">
        <v>144</v>
      </c>
    </row>
    <row r="2" customFormat="false" ht="15" hidden="false" customHeight="false" outlineLevel="0" collapsed="false">
      <c r="A2" s="2" t="s">
        <v>145</v>
      </c>
    </row>
    <row r="4" customFormat="false" ht="15" hidden="false" customHeight="false" outlineLevel="0" collapsed="false">
      <c r="A4" s="3" t="s">
        <v>146</v>
      </c>
      <c r="B4" s="3" t="s">
        <v>147</v>
      </c>
      <c r="C4" s="3" t="s">
        <v>148</v>
      </c>
      <c r="D4" s="3" t="s">
        <v>149</v>
      </c>
      <c r="E4" s="3" t="s">
        <v>150</v>
      </c>
    </row>
    <row r="5" customFormat="false" ht="15" hidden="false" customHeight="false" outlineLevel="0" collapsed="false">
      <c r="A5" s="11" t="s">
        <v>151</v>
      </c>
      <c r="B5" s="11" t="s">
        <v>4</v>
      </c>
      <c r="C5" s="11" t="s">
        <v>152</v>
      </c>
      <c r="D5" s="6" t="n">
        <f aca="false">COUNTIF(INDEX('Roles x Areas'!$B$5:$Y$34,0,MATCH(B5,'Roles x Areas'!$B$4:$Y$4,0)),"?*")</f>
        <v>11</v>
      </c>
      <c r="E5" s="11" t="s">
        <v>153</v>
      </c>
    </row>
    <row r="6" customFormat="false" ht="15" hidden="false" customHeight="false" outlineLevel="0" collapsed="false">
      <c r="A6" s="11" t="s">
        <v>154</v>
      </c>
      <c r="B6" s="11" t="s">
        <v>5</v>
      </c>
      <c r="C6" s="11" t="s">
        <v>155</v>
      </c>
      <c r="D6" s="6" t="n">
        <f aca="false">COUNTIF(INDEX('Roles x Areas'!$B$5:$Y$34,0,MATCH(B6,'Roles x Areas'!$B$4:$Y$4,0)),"?*")</f>
        <v>6</v>
      </c>
      <c r="E6" s="11" t="s">
        <v>156</v>
      </c>
    </row>
    <row r="7" customFormat="false" ht="15" hidden="false" customHeight="false" outlineLevel="0" collapsed="false">
      <c r="A7" s="11" t="s">
        <v>157</v>
      </c>
      <c r="B7" s="11" t="s">
        <v>6</v>
      </c>
      <c r="C7" s="11" t="s">
        <v>158</v>
      </c>
      <c r="D7" s="6" t="n">
        <f aca="false">COUNTIF(INDEX('Roles x Areas'!$B$5:$Y$34,0,MATCH(B7,'Roles x Areas'!$B$4:$Y$4,0)),"?*")</f>
        <v>12</v>
      </c>
      <c r="E7" s="11" t="s">
        <v>159</v>
      </c>
    </row>
    <row r="8" customFormat="false" ht="15" hidden="false" customHeight="false" outlineLevel="0" collapsed="false">
      <c r="A8" s="11" t="s">
        <v>160</v>
      </c>
      <c r="B8" s="11" t="s">
        <v>7</v>
      </c>
      <c r="C8" s="11" t="s">
        <v>161</v>
      </c>
      <c r="D8" s="6" t="n">
        <f aca="false">COUNTIF(INDEX('Roles x Areas'!$B$5:$Y$34,0,MATCH(B8,'Roles x Areas'!$B$4:$Y$4,0)),"?*")</f>
        <v>4</v>
      </c>
      <c r="E8" s="11" t="s">
        <v>159</v>
      </c>
    </row>
    <row r="9" customFormat="false" ht="15" hidden="false" customHeight="false" outlineLevel="0" collapsed="false">
      <c r="A9" s="11" t="s">
        <v>162</v>
      </c>
      <c r="B9" s="11" t="s">
        <v>8</v>
      </c>
      <c r="C9" s="11" t="s">
        <v>163</v>
      </c>
      <c r="D9" s="6" t="n">
        <f aca="false">COUNTIF(INDEX('Roles x Areas'!$B$5:$Y$34,0,MATCH(B9,'Roles x Areas'!$B$4:$Y$4,0)),"?*")</f>
        <v>4</v>
      </c>
      <c r="E9" s="11" t="s">
        <v>164</v>
      </c>
    </row>
    <row r="10" customFormat="false" ht="15" hidden="false" customHeight="false" outlineLevel="0" collapsed="false">
      <c r="A10" s="11" t="s">
        <v>165</v>
      </c>
      <c r="B10" s="11" t="s">
        <v>9</v>
      </c>
      <c r="C10" s="11" t="s">
        <v>166</v>
      </c>
      <c r="D10" s="6" t="n">
        <f aca="false">COUNTIF(INDEX('Roles x Areas'!$B$5:$Y$34,0,MATCH(B10,'Roles x Areas'!$B$4:$Y$4,0)),"?*")</f>
        <v>6</v>
      </c>
      <c r="E10" s="11" t="s">
        <v>164</v>
      </c>
    </row>
    <row r="11" customFormat="false" ht="15" hidden="false" customHeight="false" outlineLevel="0" collapsed="false">
      <c r="A11" s="11" t="s">
        <v>167</v>
      </c>
      <c r="B11" s="11" t="s">
        <v>10</v>
      </c>
      <c r="C11" s="11" t="s">
        <v>168</v>
      </c>
      <c r="D11" s="6" t="n">
        <f aca="false">COUNTIF(INDEX('Roles x Areas'!$B$5:$Y$34,0,MATCH(B11,'Roles x Areas'!$B$4:$Y$4,0)),"?*")</f>
        <v>5</v>
      </c>
      <c r="E11" s="11" t="s">
        <v>159</v>
      </c>
    </row>
    <row r="12" customFormat="false" ht="15" hidden="false" customHeight="false" outlineLevel="0" collapsed="false">
      <c r="A12" s="11" t="s">
        <v>169</v>
      </c>
      <c r="B12" s="11" t="s">
        <v>11</v>
      </c>
      <c r="C12" s="11" t="s">
        <v>170</v>
      </c>
      <c r="D12" s="6" t="n">
        <f aca="false">COUNTIF(INDEX('Roles x Areas'!$B$5:$Y$34,0,MATCH(B12,'Roles x Areas'!$B$4:$Y$4,0)),"?*")</f>
        <v>9</v>
      </c>
      <c r="E12" s="11" t="s">
        <v>159</v>
      </c>
    </row>
    <row r="13" customFormat="false" ht="15" hidden="false" customHeight="false" outlineLevel="0" collapsed="false">
      <c r="A13" s="11" t="s">
        <v>171</v>
      </c>
      <c r="B13" s="11" t="s">
        <v>12</v>
      </c>
      <c r="C13" s="11" t="s">
        <v>172</v>
      </c>
      <c r="D13" s="6" t="n">
        <f aca="false">COUNTIF(INDEX('Roles x Areas'!$B$5:$Y$34,0,MATCH(B13,'Roles x Areas'!$B$4:$Y$4,0)),"?*")</f>
        <v>5</v>
      </c>
      <c r="E13" s="11" t="s">
        <v>173</v>
      </c>
    </row>
    <row r="14" customFormat="false" ht="15" hidden="false" customHeight="false" outlineLevel="0" collapsed="false">
      <c r="A14" s="11" t="s">
        <v>13</v>
      </c>
      <c r="B14" s="11" t="s">
        <v>13</v>
      </c>
      <c r="C14" s="11" t="s">
        <v>174</v>
      </c>
      <c r="D14" s="6" t="n">
        <f aca="false">COUNTIF(INDEX('Roles x Areas'!$B$5:$Y$34,0,MATCH(B14,'Roles x Areas'!$B$4:$Y$4,0)),"?*")</f>
        <v>9</v>
      </c>
      <c r="E14" s="11" t="s">
        <v>164</v>
      </c>
    </row>
    <row r="15" customFormat="false" ht="15" hidden="false" customHeight="false" outlineLevel="0" collapsed="false">
      <c r="A15" s="11" t="s">
        <v>175</v>
      </c>
      <c r="B15" s="11" t="s">
        <v>14</v>
      </c>
      <c r="C15" s="11" t="s">
        <v>176</v>
      </c>
      <c r="D15" s="6" t="n">
        <f aca="false">COUNTIF(INDEX('Roles x Areas'!$B$5:$Y$34,0,MATCH(B15,'Roles x Areas'!$B$4:$Y$4,0)),"?*")</f>
        <v>8</v>
      </c>
      <c r="E15" s="11" t="s">
        <v>177</v>
      </c>
    </row>
    <row r="16" customFormat="false" ht="15" hidden="false" customHeight="false" outlineLevel="0" collapsed="false">
      <c r="A16" s="11" t="s">
        <v>178</v>
      </c>
      <c r="B16" s="11" t="s">
        <v>15</v>
      </c>
      <c r="C16" s="11" t="s">
        <v>179</v>
      </c>
      <c r="D16" s="6" t="n">
        <f aca="false">COUNTIF(INDEX('Roles x Areas'!$B$5:$Y$34,0,MATCH(B16,'Roles x Areas'!$B$4:$Y$4,0)),"?*")</f>
        <v>6</v>
      </c>
      <c r="E16" s="11" t="s">
        <v>180</v>
      </c>
    </row>
    <row r="17" customFormat="false" ht="15" hidden="false" customHeight="false" outlineLevel="0" collapsed="false">
      <c r="A17" s="11" t="s">
        <v>181</v>
      </c>
      <c r="B17" s="11" t="s">
        <v>16</v>
      </c>
      <c r="C17" s="11" t="s">
        <v>182</v>
      </c>
      <c r="D17" s="6" t="n">
        <f aca="false">COUNTIF(INDEX('Roles x Areas'!$B$5:$Y$34,0,MATCH(B17,'Roles x Areas'!$B$4:$Y$4,0)),"?*")</f>
        <v>7</v>
      </c>
      <c r="E17" s="11" t="s">
        <v>180</v>
      </c>
    </row>
    <row r="18" customFormat="false" ht="15" hidden="false" customHeight="false" outlineLevel="0" collapsed="false">
      <c r="A18" s="11" t="s">
        <v>183</v>
      </c>
      <c r="B18" s="11" t="s">
        <v>19</v>
      </c>
      <c r="C18" s="11" t="s">
        <v>184</v>
      </c>
      <c r="D18" s="6" t="n">
        <f aca="false">COUNTIF(INDEX('Roles x Areas'!$B$5:$Y$34,0,MATCH(B18,'Roles x Areas'!$B$4:$Y$4,0)),"?*")</f>
        <v>6</v>
      </c>
      <c r="E18" s="11" t="s">
        <v>159</v>
      </c>
    </row>
    <row r="19" customFormat="false" ht="15" hidden="false" customHeight="false" outlineLevel="0" collapsed="false">
      <c r="A19" s="11" t="s">
        <v>185</v>
      </c>
      <c r="B19" s="11" t="s">
        <v>20</v>
      </c>
      <c r="C19" s="11" t="s">
        <v>186</v>
      </c>
      <c r="D19" s="6" t="n">
        <f aca="false">COUNTIF(INDEX('Roles x Areas'!$B$5:$Y$34,0,MATCH(B19,'Roles x Areas'!$B$4:$Y$4,0)),"?*")</f>
        <v>7</v>
      </c>
      <c r="E19" s="11" t="s">
        <v>180</v>
      </c>
    </row>
    <row r="20" customFormat="false" ht="15" hidden="false" customHeight="false" outlineLevel="0" collapsed="false">
      <c r="A20" s="11" t="s">
        <v>187</v>
      </c>
      <c r="B20" s="11" t="s">
        <v>21</v>
      </c>
      <c r="C20" s="11" t="s">
        <v>188</v>
      </c>
      <c r="D20" s="6" t="n">
        <f aca="false">COUNTIF(INDEX('Roles x Areas'!$B$5:$Y$34,0,MATCH(B20,'Roles x Areas'!$B$4:$Y$4,0)),"?*")</f>
        <v>4</v>
      </c>
      <c r="E20" s="11" t="s">
        <v>189</v>
      </c>
    </row>
    <row r="21" customFormat="false" ht="15" hidden="false" customHeight="false" outlineLevel="0" collapsed="false">
      <c r="A21" s="11" t="s">
        <v>190</v>
      </c>
      <c r="B21" s="11" t="s">
        <v>22</v>
      </c>
      <c r="C21" s="11" t="s">
        <v>191</v>
      </c>
      <c r="D21" s="6" t="n">
        <f aca="false">COUNTIF(INDEX('Roles x Areas'!$B$5:$Y$34,0,MATCH(B21,'Roles x Areas'!$B$4:$Y$4,0)),"?*")</f>
        <v>3</v>
      </c>
      <c r="E21" s="11" t="s">
        <v>164</v>
      </c>
    </row>
    <row r="22" customFormat="false" ht="15" hidden="false" customHeight="false" outlineLevel="0" collapsed="false">
      <c r="A22" s="11" t="s">
        <v>192</v>
      </c>
      <c r="B22" s="11" t="s">
        <v>23</v>
      </c>
      <c r="C22" s="11" t="s">
        <v>193</v>
      </c>
      <c r="D22" s="6" t="n">
        <f aca="false">COUNTIF(INDEX('Roles x Areas'!$B$5:$Y$34,0,MATCH(B22,'Roles x Areas'!$B$4:$Y$4,0)),"?*")</f>
        <v>4</v>
      </c>
      <c r="E22" s="11" t="s">
        <v>159</v>
      </c>
    </row>
    <row r="23" customFormat="false" ht="15" hidden="false" customHeight="false" outlineLevel="0" collapsed="false">
      <c r="A23" s="11" t="s">
        <v>194</v>
      </c>
      <c r="B23" s="11" t="s">
        <v>25</v>
      </c>
      <c r="C23" s="11" t="s">
        <v>195</v>
      </c>
      <c r="D23" s="6" t="n">
        <f aca="false">COUNTIF(INDEX('Roles x Areas'!$B$5:$Y$34,0,MATCH(B23,'Roles x Areas'!$B$4:$Y$4,0)),"?*")</f>
        <v>2</v>
      </c>
      <c r="E23" s="11" t="s">
        <v>164</v>
      </c>
    </row>
    <row r="24" customFormat="false" ht="15" hidden="false" customHeight="false" outlineLevel="0" collapsed="false">
      <c r="A24" s="11" t="s">
        <v>196</v>
      </c>
      <c r="B24" s="11" t="s">
        <v>26</v>
      </c>
      <c r="C24" s="11" t="s">
        <v>197</v>
      </c>
      <c r="D24" s="6" t="n">
        <f aca="false">COUNTIF(INDEX('Roles x Areas'!$B$5:$Y$34,0,MATCH(B24,'Roles x Areas'!$B$4:$Y$4,0)),"?*")</f>
        <v>14</v>
      </c>
      <c r="E24" s="11" t="s">
        <v>164</v>
      </c>
    </row>
    <row r="25" customFormat="false" ht="15" hidden="false" customHeight="false" outlineLevel="0" collapsed="false">
      <c r="A25" s="11" t="s">
        <v>198</v>
      </c>
      <c r="B25" s="11" t="s">
        <v>17</v>
      </c>
      <c r="C25" s="11" t="s">
        <v>199</v>
      </c>
      <c r="D25" s="6" t="n">
        <f aca="false">COUNTIF(INDEX('Roles x Areas'!$B$5:$Y$34,0,MATCH(B25,'Roles x Areas'!$B$4:$Y$4,0)),"?*")</f>
        <v>8</v>
      </c>
      <c r="E25" s="11" t="s">
        <v>164</v>
      </c>
    </row>
    <row r="26" customFormat="false" ht="15" hidden="false" customHeight="false" outlineLevel="0" collapsed="false">
      <c r="A26" s="11" t="s">
        <v>200</v>
      </c>
      <c r="B26" s="11" t="s">
        <v>17</v>
      </c>
      <c r="C26" s="11" t="s">
        <v>201</v>
      </c>
      <c r="D26" s="6" t="n">
        <f aca="false">COUNTIF(INDEX('Roles x Areas'!$B$5:$Y$34,0,MATCH(B26,'Roles x Areas'!$B$4:$Y$4,0)),"?*")</f>
        <v>8</v>
      </c>
      <c r="E26" s="11" t="s">
        <v>164</v>
      </c>
    </row>
    <row r="27" customFormat="false" ht="15" hidden="false" customHeight="false" outlineLevel="0" collapsed="false">
      <c r="A27" s="11" t="s">
        <v>202</v>
      </c>
      <c r="B27" s="11" t="s">
        <v>18</v>
      </c>
      <c r="C27" s="11" t="s">
        <v>203</v>
      </c>
      <c r="D27" s="6" t="n">
        <f aca="false">COUNTIF(INDEX('Roles x Areas'!$B$5:$Y$34,0,MATCH(B27,'Roles x Areas'!$B$4:$Y$4,0)),"?*")</f>
        <v>12</v>
      </c>
      <c r="E27" s="11" t="s">
        <v>164</v>
      </c>
    </row>
    <row r="28" customFormat="false" ht="15" hidden="false" customHeight="false" outlineLevel="0" collapsed="false">
      <c r="A28" s="11" t="s">
        <v>204</v>
      </c>
      <c r="B28" s="11" t="s">
        <v>18</v>
      </c>
      <c r="C28" s="11" t="s">
        <v>205</v>
      </c>
      <c r="D28" s="6" t="n">
        <f aca="false">COUNTIF(INDEX('Roles x Areas'!$B$5:$Y$34,0,MATCH(B28,'Roles x Areas'!$B$4:$Y$4,0)),"?*")</f>
        <v>12</v>
      </c>
      <c r="E28" s="11" t="s">
        <v>180</v>
      </c>
    </row>
    <row r="29" customFormat="false" ht="15" hidden="false" customHeight="false" outlineLevel="0" collapsed="false">
      <c r="A29" s="11" t="s">
        <v>206</v>
      </c>
      <c r="B29" s="11" t="s">
        <v>24</v>
      </c>
      <c r="C29" s="11" t="s">
        <v>207</v>
      </c>
      <c r="D29" s="6" t="n">
        <f aca="false">COUNTIF(INDEX('Roles x Areas'!$B$5:$Y$34,0,MATCH(B29,'Roles x Areas'!$B$4:$Y$4,0)),"?*")</f>
        <v>5</v>
      </c>
      <c r="E29" s="11" t="s">
        <v>164</v>
      </c>
    </row>
    <row r="30" customFormat="false" ht="15" hidden="false" customHeight="false" outlineLevel="0" collapsed="false">
      <c r="A30" s="11" t="s">
        <v>208</v>
      </c>
      <c r="B30" s="11" t="s">
        <v>27</v>
      </c>
      <c r="C30" s="11" t="s">
        <v>209</v>
      </c>
      <c r="D30" s="6" t="n">
        <f aca="false">COUNTIF(INDEX('Roles x Areas'!$B$5:$Y$34,0,MATCH(B30,'Roles x Areas'!$B$4:$Y$4,0)),"?*")</f>
        <v>2</v>
      </c>
      <c r="E30" s="11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2026-10-31T09:22:57Z</dcterms:created>
  <dc:creator>openpyxl</dc:creator>
  <dc:description/>
  <dc:language>en-US</dc:language>
  <cp:lastModifiedBy/>
  <dcterms:modified xsi:type="dcterms:W3CDTF">2026-10-31T09:22:57Z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