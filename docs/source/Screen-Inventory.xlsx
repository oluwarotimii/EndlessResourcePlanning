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reens" sheetId="1" state="visible" r:id="rId3"/>
    <sheet name="Sprints" sheetId="2" state="visible" r:id="rId4"/>
    <sheet name="Summary" sheetId="3" state="visible" r:id="rId5"/>
  </sheets>
  <definedNames>
    <definedName function="false" hidden="true" localSheetId="0" name="_xlnm._FilterDatabase" vbProcedure="false">Screens!$A$4:$K$97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<sst xmlns="http://schemas.openxmlformats.org/spreadsheetml/2006/main" count="1112" uniqueCount="439">
  <si>
    <t xml:space="preserve">Screen inventory: what ERPNext offers versus what to build</t>
  </si>
  <si>
    <t xml:space="preserve">Verdict: Use ERPNext = admins and finance use the standard Desk; Configure ERPNext = ERPNext handles it, our screen is thin; Build custom = no adequate ERPNext screen. Edit the blue cells to re-plan.</t>
  </si>
  <si>
    <t xml:space="preserve">ID</t>
  </si>
  <si>
    <t xml:space="preserve">Area</t>
  </si>
  <si>
    <t xml:space="preserve">Screen</t>
  </si>
  <si>
    <t xml:space="preserve">Main roles</t>
  </si>
  <si>
    <t xml:space="preserve">What ERPNext offers</t>
  </si>
  <si>
    <t xml:space="preserve">Verdict</t>
  </si>
  <si>
    <t xml:space="preserve">Pattern</t>
  </si>
  <si>
    <t xml:space="preserve">Device</t>
  </si>
  <si>
    <t xml:space="preserve">Offline</t>
  </si>
  <si>
    <t xml:space="preserve">Scope</t>
  </si>
  <si>
    <t xml:space="preserve">Sprint</t>
  </si>
  <si>
    <t xml:space="preserve">P01</t>
  </si>
  <si>
    <t xml:space="preserve">Platform</t>
  </si>
  <si>
    <t xml:space="preserve">Login and device registration</t>
  </si>
  <si>
    <t xml:space="preserve">All</t>
  </si>
  <si>
    <t xml:space="preserve">User, session</t>
  </si>
  <si>
    <t xml:space="preserve">Build custom</t>
  </si>
  <si>
    <t xml:space="preserve">Form</t>
  </si>
  <si>
    <t xml:space="preserve">Partial</t>
  </si>
  <si>
    <t xml:space="preserve">MVP</t>
  </si>
  <si>
    <t xml:space="preserve">S1</t>
  </si>
  <si>
    <t xml:space="preserve">P02</t>
  </si>
  <si>
    <t xml:space="preserve">Role home (task queue)</t>
  </si>
  <si>
    <t xml:space="preserve">Workspace (too cluttered)</t>
  </si>
  <si>
    <t xml:space="preserve">Dashboard</t>
  </si>
  <si>
    <t xml:space="preserve">Cached</t>
  </si>
  <si>
    <t xml:space="preserve">P03</t>
  </si>
  <si>
    <t xml:space="preserve">Offline and sync tray</t>
  </si>
  <si>
    <t xml:space="preserve">None</t>
  </si>
  <si>
    <t xml:space="preserve">List</t>
  </si>
  <si>
    <t xml:space="preserve">Yes</t>
  </si>
  <si>
    <t xml:space="preserve">S2</t>
  </si>
  <si>
    <t xml:space="preserve">P04</t>
  </si>
  <si>
    <t xml:space="preserve">Notifications</t>
  </si>
  <si>
    <t xml:space="preserve">Notification</t>
  </si>
  <si>
    <t xml:space="preserve">Configure ERPNext</t>
  </si>
  <si>
    <t xml:space="preserve">No</t>
  </si>
  <si>
    <t xml:space="preserve">Later</t>
  </si>
  <si>
    <t xml:space="preserve">S6</t>
  </si>
  <si>
    <t xml:space="preserve">P05</t>
  </si>
  <si>
    <t xml:space="preserve">Config console (screens, roles, branding)</t>
  </si>
  <si>
    <t xml:space="preserve">Admin / IT</t>
  </si>
  <si>
    <t xml:space="preserve">Desktop</t>
  </si>
  <si>
    <t xml:space="preserve">S10</t>
  </si>
  <si>
    <t xml:space="preserve">S01</t>
  </si>
  <si>
    <t xml:space="preserve">Stores (POS)</t>
  </si>
  <si>
    <t xml:space="preserve">Till (scan and pay)</t>
  </si>
  <si>
    <t xml:space="preserve">Cashier</t>
  </si>
  <si>
    <t xml:space="preserve">POS Invoice, POS Profile</t>
  </si>
  <si>
    <t xml:space="preserve">Scan flow</t>
  </si>
  <si>
    <t xml:space="preserve">Tablet</t>
  </si>
  <si>
    <t xml:space="preserve">S02</t>
  </si>
  <si>
    <t xml:space="preserve">Parked sales</t>
  </si>
  <si>
    <t xml:space="preserve">Draft invoice</t>
  </si>
  <si>
    <t xml:space="preserve">S03</t>
  </si>
  <si>
    <t xml:space="preserve">Shift open and close</t>
  </si>
  <si>
    <t xml:space="preserve">POS Opening and Closing Entry</t>
  </si>
  <si>
    <t xml:space="preserve">Wizard</t>
  </si>
  <si>
    <t xml:space="preserve">S04</t>
  </si>
  <si>
    <t xml:space="preserve">Customer lookup</t>
  </si>
  <si>
    <t xml:space="preserve">Cashier, Sales rep</t>
  </si>
  <si>
    <t xml:space="preserve">Customer</t>
  </si>
  <si>
    <t xml:space="preserve">Tablet, phone</t>
  </si>
  <si>
    <t xml:space="preserve">S05</t>
  </si>
  <si>
    <t xml:space="preserve">Needs-manager request (discount, void)</t>
  </si>
  <si>
    <t xml:space="preserve">Dialog</t>
  </si>
  <si>
    <t xml:space="preserve">S3</t>
  </si>
  <si>
    <t xml:space="preserve">S06</t>
  </si>
  <si>
    <t xml:space="preserve">Stock check and order</t>
  </si>
  <si>
    <t xml:space="preserve">Sales rep</t>
  </si>
  <si>
    <t xml:space="preserve">Item, Bin, Sales Order</t>
  </si>
  <si>
    <t xml:space="preserve">Phone</t>
  </si>
  <si>
    <t xml:space="preserve">S8</t>
  </si>
  <si>
    <t xml:space="preserve">W01</t>
  </si>
  <si>
    <t xml:space="preserve">Web and app</t>
  </si>
  <si>
    <t xml:space="preserve">Online orders queue (staff)</t>
  </si>
  <si>
    <t xml:space="preserve">Customer success, Delivery</t>
  </si>
  <si>
    <t xml:space="preserve">Sales Order, Pick List</t>
  </si>
  <si>
    <t xml:space="preserve">S9</t>
  </si>
  <si>
    <t xml:space="preserve">W02</t>
  </si>
  <si>
    <t xml:space="preserve">Customer app: catalogue, cart, pay, tracking</t>
  </si>
  <si>
    <t xml:space="preserve">Website Item, Shopping Cart</t>
  </si>
  <si>
    <t xml:space="preserve">Storefront</t>
  </si>
  <si>
    <t xml:space="preserve">After S10</t>
  </si>
  <si>
    <t xml:space="preserve">W03</t>
  </si>
  <si>
    <t xml:space="preserve">Customer scan-and-pay cart with QR</t>
  </si>
  <si>
    <t xml:space="preserve">C01</t>
  </si>
  <si>
    <t xml:space="preserve">CRM</t>
  </si>
  <si>
    <t xml:space="preserve">Customer accounts</t>
  </si>
  <si>
    <t xml:space="preserve">Customer success, Marketing</t>
  </si>
  <si>
    <t xml:space="preserve">Customer, Contact</t>
  </si>
  <si>
    <t xml:space="preserve">List and detail</t>
  </si>
  <si>
    <t xml:space="preserve">C02</t>
  </si>
  <si>
    <t xml:space="preserve">Lead pipeline</t>
  </si>
  <si>
    <t xml:space="preserve">Lead, Opportunity kanban</t>
  </si>
  <si>
    <t xml:space="preserve">Use ERPNext</t>
  </si>
  <si>
    <t xml:space="preserve">Kanban</t>
  </si>
  <si>
    <t xml:space="preserve">C03</t>
  </si>
  <si>
    <t xml:space="preserve">Customer success</t>
  </si>
  <si>
    <t xml:space="preserve">Customer care inbox</t>
  </si>
  <si>
    <t xml:space="preserve">Issue, SLA</t>
  </si>
  <si>
    <t xml:space="preserve">C04</t>
  </si>
  <si>
    <t xml:space="preserve">Feedback follow-up</t>
  </si>
  <si>
    <t xml:space="preserve">M01</t>
  </si>
  <si>
    <t xml:space="preserve">Marketing</t>
  </si>
  <si>
    <t xml:space="preserve">Campaigns and promotions</t>
  </si>
  <si>
    <t xml:space="preserve">Campaign, Coupon Code, Pricing Rule</t>
  </si>
  <si>
    <t xml:space="preserve">List and form</t>
  </si>
  <si>
    <t xml:space="preserve">M02</t>
  </si>
  <si>
    <t xml:space="preserve">Customer segments</t>
  </si>
  <si>
    <t xml:space="preserve">Weak</t>
  </si>
  <si>
    <t xml:space="preserve">M03</t>
  </si>
  <si>
    <t xml:space="preserve">Referrals and loyalty</t>
  </si>
  <si>
    <t xml:space="preserve">Loyalty Program</t>
  </si>
  <si>
    <t xml:space="preserve">D01</t>
  </si>
  <si>
    <t xml:space="preserve">Digital media</t>
  </si>
  <si>
    <t xml:space="preserve">Content and prices (price-change request)</t>
  </si>
  <si>
    <t xml:space="preserve">Digital media, Marketing</t>
  </si>
  <si>
    <t xml:space="preserve">Item, Price List</t>
  </si>
  <si>
    <t xml:space="preserve">R01</t>
  </si>
  <si>
    <t xml:space="preserve">Procurement</t>
  </si>
  <si>
    <t xml:space="preserve">Purchase orders</t>
  </si>
  <si>
    <t xml:space="preserve">Procurement officer</t>
  </si>
  <si>
    <t xml:space="preserve">Material Request, PO</t>
  </si>
  <si>
    <t xml:space="preserve">R02</t>
  </si>
  <si>
    <t xml:space="preserve">Supplier onboarding</t>
  </si>
  <si>
    <t xml:space="preserve">Supplier</t>
  </si>
  <si>
    <t xml:space="preserve">H01</t>
  </si>
  <si>
    <t xml:space="preserve">Warehouse</t>
  </si>
  <si>
    <t xml:space="preserve">Goods receipt (scan)</t>
  </si>
  <si>
    <t xml:space="preserve">Warehouse officer</t>
  </si>
  <si>
    <t xml:space="preserve">Purchase Receipt</t>
  </si>
  <si>
    <t xml:space="preserve">S4</t>
  </si>
  <si>
    <t xml:space="preserve">H02</t>
  </si>
  <si>
    <t xml:space="preserve">Branch stock request</t>
  </si>
  <si>
    <t xml:space="preserve">Branch manager</t>
  </si>
  <si>
    <t xml:space="preserve">Material Request</t>
  </si>
  <si>
    <t xml:space="preserve">H03</t>
  </si>
  <si>
    <t xml:space="preserve">Transfer dispatch (pick and pack)</t>
  </si>
  <si>
    <t xml:space="preserve">Stock Entry, Pick List</t>
  </si>
  <si>
    <t xml:space="preserve">H04</t>
  </si>
  <si>
    <t xml:space="preserve">Transfer receipt and in-transit list</t>
  </si>
  <si>
    <t xml:space="preserve">Branch manager, Warehouse officer</t>
  </si>
  <si>
    <t xml:space="preserve">Stock Entry (no signature)</t>
  </si>
  <si>
    <t xml:space="preserve">H05</t>
  </si>
  <si>
    <t xml:space="preserve">Stock lookup</t>
  </si>
  <si>
    <t xml:space="preserve">Stock roles, Sales rep</t>
  </si>
  <si>
    <t xml:space="preserve">Stock Balance</t>
  </si>
  <si>
    <t xml:space="preserve">H06</t>
  </si>
  <si>
    <t xml:space="preserve">Quarantine and damaged bin</t>
  </si>
  <si>
    <t xml:space="preserve">S7</t>
  </si>
  <si>
    <t xml:space="preserve">K01</t>
  </si>
  <si>
    <t xml:space="preserve">Stock control</t>
  </si>
  <si>
    <t xml:space="preserve">Blind cycle count</t>
  </si>
  <si>
    <t xml:space="preserve">Stock controller</t>
  </si>
  <si>
    <t xml:space="preserve">Stock Reconciliation (not blind)</t>
  </si>
  <si>
    <t xml:space="preserve">K02</t>
  </si>
  <si>
    <t xml:space="preserve">Variance list and write-off request</t>
  </si>
  <si>
    <t xml:space="preserve">None dedicated</t>
  </si>
  <si>
    <t xml:space="preserve">Approval</t>
  </si>
  <si>
    <t xml:space="preserve">K03</t>
  </si>
  <si>
    <t xml:space="preserve">Serial and IMEI check</t>
  </si>
  <si>
    <t xml:space="preserve">Stock controller, Cashier</t>
  </si>
  <si>
    <t xml:space="preserve">Serial No</t>
  </si>
  <si>
    <t xml:space="preserve">T01</t>
  </si>
  <si>
    <t xml:space="preserve">Returns</t>
  </si>
  <si>
    <t xml:space="preserve">Customer return (receipt lookup)</t>
  </si>
  <si>
    <t xml:space="preserve">Sales Return</t>
  </si>
  <si>
    <t xml:space="preserve">T02</t>
  </si>
  <si>
    <t xml:space="preserve">Supplier return</t>
  </si>
  <si>
    <t xml:space="preserve">Purchase Return</t>
  </si>
  <si>
    <t xml:space="preserve">T03</t>
  </si>
  <si>
    <t xml:space="preserve">Returns inspection and restock</t>
  </si>
  <si>
    <t xml:space="preserve">L01</t>
  </si>
  <si>
    <t xml:space="preserve">Delivery</t>
  </si>
  <si>
    <t xml:space="preserve">Dispatch board</t>
  </si>
  <si>
    <t xml:space="preserve">Delivery coordinator</t>
  </si>
  <si>
    <t xml:space="preserve">Delivery Note, Delivery Trip (basic)</t>
  </si>
  <si>
    <t xml:space="preserve">L02</t>
  </si>
  <si>
    <t xml:space="preserve">Rider trips</t>
  </si>
  <si>
    <t xml:space="preserve">Rider</t>
  </si>
  <si>
    <t xml:space="preserve">L03</t>
  </si>
  <si>
    <t xml:space="preserve">Proof of delivery and failed reason</t>
  </si>
  <si>
    <t xml:space="preserve">L04</t>
  </si>
  <si>
    <t xml:space="preserve">Rider cash remittance</t>
  </si>
  <si>
    <t xml:space="preserve">Rider, Cash controller</t>
  </si>
  <si>
    <t xml:space="preserve">L05</t>
  </si>
  <si>
    <t xml:space="preserve">Cash-on-delivery outstanding</t>
  </si>
  <si>
    <t xml:space="preserve">X01</t>
  </si>
  <si>
    <t xml:space="preserve">Repairs</t>
  </si>
  <si>
    <t xml:space="preserve">Repair intake with photos and IMEI</t>
  </si>
  <si>
    <t xml:space="preserve">Technician</t>
  </si>
  <si>
    <t xml:space="preserve">Warranty Claim (weak)</t>
  </si>
  <si>
    <t xml:space="preserve">X02</t>
  </si>
  <si>
    <t xml:space="preserve">My repair jobs</t>
  </si>
  <si>
    <t xml:space="preserve">Custom doctype</t>
  </si>
  <si>
    <t xml:space="preserve">X03</t>
  </si>
  <si>
    <t xml:space="preserve">Parts request</t>
  </si>
  <si>
    <t xml:space="preserve">Stock Entry</t>
  </si>
  <si>
    <t xml:space="preserve">X04</t>
  </si>
  <si>
    <t xml:space="preserve">Quote approval and ready for pickup</t>
  </si>
  <si>
    <t xml:space="preserve">Technician, Customer success</t>
  </si>
  <si>
    <t xml:space="preserve">Detail</t>
  </si>
  <si>
    <t xml:space="preserve">Tablet, desktop</t>
  </si>
  <si>
    <t xml:space="preserve">Q01</t>
  </si>
  <si>
    <t xml:space="preserve">Cash-up</t>
  </si>
  <si>
    <t xml:space="preserve">Cash-up count</t>
  </si>
  <si>
    <t xml:space="preserve">POS Closing Entry (partial)</t>
  </si>
  <si>
    <t xml:space="preserve">Q02</t>
  </si>
  <si>
    <t xml:space="preserve">Cash-up sign-off</t>
  </si>
  <si>
    <t xml:space="preserve">Q03</t>
  </si>
  <si>
    <t xml:space="preserve">Cross-branch cash-up review and deposit match</t>
  </si>
  <si>
    <t xml:space="preserve">Cash controller</t>
  </si>
  <si>
    <t xml:space="preserve">A01</t>
  </si>
  <si>
    <t xml:space="preserve">Approvals</t>
  </si>
  <si>
    <t xml:space="preserve">Approvals inbox</t>
  </si>
  <si>
    <t xml:space="preserve">Branch manager, MD, others</t>
  </si>
  <si>
    <t xml:space="preserve">Workflow Action, ToDo</t>
  </si>
  <si>
    <t xml:space="preserve">Approval inbox</t>
  </si>
  <si>
    <t xml:space="preserve">Phone, tablet</t>
  </si>
  <si>
    <t xml:space="preserve">Queue</t>
  </si>
  <si>
    <t xml:space="preserve">A02</t>
  </si>
  <si>
    <t xml:space="preserve">Branch manager home</t>
  </si>
  <si>
    <t xml:space="preserve">Reports</t>
  </si>
  <si>
    <t xml:space="preserve">A03</t>
  </si>
  <si>
    <t xml:space="preserve">HR and staff</t>
  </si>
  <si>
    <t xml:space="preserve">Branch attendance view</t>
  </si>
  <si>
    <t xml:space="preserve">Attendance</t>
  </si>
  <si>
    <t xml:space="preserve">F01</t>
  </si>
  <si>
    <t xml:space="preserve">Payments</t>
  </si>
  <si>
    <t xml:space="preserve">Paystack reconciliation</t>
  </si>
  <si>
    <t xml:space="preserve">Accountant</t>
  </si>
  <si>
    <t xml:space="preserve">Payment Entry, Bank Transaction</t>
  </si>
  <si>
    <t xml:space="preserve">F02</t>
  </si>
  <si>
    <t xml:space="preserve">Payee whitelist</t>
  </si>
  <si>
    <t xml:space="preserve">F03</t>
  </si>
  <si>
    <t xml:space="preserve">Payroll</t>
  </si>
  <si>
    <t xml:space="preserve">Payout batch (GAPS file, limits, MD code)</t>
  </si>
  <si>
    <t xml:space="preserve">Accountant, MD</t>
  </si>
  <si>
    <t xml:space="preserve">Desktop, phone</t>
  </si>
  <si>
    <t xml:space="preserve">F04</t>
  </si>
  <si>
    <t xml:space="preserve">Tax and VAT</t>
  </si>
  <si>
    <t xml:space="preserve">VAT and tax returns</t>
  </si>
  <si>
    <t xml:space="preserve">Tax Template</t>
  </si>
  <si>
    <t xml:space="preserve">Report</t>
  </si>
  <si>
    <t xml:space="preserve">F05</t>
  </si>
  <si>
    <t xml:space="preserve">Accounting</t>
  </si>
  <si>
    <t xml:space="preserve">Bank reconciliation</t>
  </si>
  <si>
    <t xml:space="preserve">Bank Reconciliation</t>
  </si>
  <si>
    <t xml:space="preserve">Desk</t>
  </si>
  <si>
    <t xml:space="preserve">F06</t>
  </si>
  <si>
    <t xml:space="preserve">Ledgers and invoices</t>
  </si>
  <si>
    <t xml:space="preserve">GL Entry, Invoices</t>
  </si>
  <si>
    <t xml:space="preserve">F07</t>
  </si>
  <si>
    <t xml:space="preserve">Journal approval</t>
  </si>
  <si>
    <t xml:space="preserve">Journal Entry</t>
  </si>
  <si>
    <t xml:space="preserve">F08</t>
  </si>
  <si>
    <t xml:space="preserve">Branch P and L</t>
  </si>
  <si>
    <t xml:space="preserve">MD, Accountant</t>
  </si>
  <si>
    <t xml:space="preserve">P and L by Cost Center</t>
  </si>
  <si>
    <t xml:space="preserve">F09</t>
  </si>
  <si>
    <t xml:space="preserve">Payroll runs</t>
  </si>
  <si>
    <t xml:space="preserve">HR officer, Accountant</t>
  </si>
  <si>
    <t xml:space="preserve">Payroll Entry, Salary Slip</t>
  </si>
  <si>
    <t xml:space="preserve">H10</t>
  </si>
  <si>
    <t xml:space="preserve">Staff records</t>
  </si>
  <si>
    <t xml:space="preserve">HR officer</t>
  </si>
  <si>
    <t xml:space="preserve">Employee</t>
  </si>
  <si>
    <t xml:space="preserve">H11</t>
  </si>
  <si>
    <t xml:space="preserve">Leave and attendance (HR)</t>
  </si>
  <si>
    <t xml:space="preserve">Leave, Attendance</t>
  </si>
  <si>
    <t xml:space="preserve">H12</t>
  </si>
  <si>
    <t xml:space="preserve">Staff self-service (leave, payslip)</t>
  </si>
  <si>
    <t xml:space="preserve">All staff</t>
  </si>
  <si>
    <t xml:space="preserve">Employee Self Service</t>
  </si>
  <si>
    <t xml:space="preserve">U01</t>
  </si>
  <si>
    <t xml:space="preserve">Audit</t>
  </si>
  <si>
    <t xml:space="preserve">Audit trail</t>
  </si>
  <si>
    <t xml:space="preserve">Auditor</t>
  </si>
  <si>
    <t xml:space="preserve">Version, Activity Log</t>
  </si>
  <si>
    <t xml:space="preserve">U02</t>
  </si>
  <si>
    <t xml:space="preserve">Audit findings and independent counts</t>
  </si>
  <si>
    <t xml:space="preserve">Desktop, tablet</t>
  </si>
  <si>
    <t xml:space="preserve">G01</t>
  </si>
  <si>
    <t xml:space="preserve">Reporting</t>
  </si>
  <si>
    <t xml:space="preserve">Loss report: cash-up variance by branch and cashier</t>
  </si>
  <si>
    <t xml:space="preserve">Branch manager, MD</t>
  </si>
  <si>
    <t xml:space="preserve">G02</t>
  </si>
  <si>
    <t xml:space="preserve">Loss report: transfers in transit over 24 hours</t>
  </si>
  <si>
    <t xml:space="preserve">G03</t>
  </si>
  <si>
    <t xml:space="preserve">Loss report: unbanked cash and deposit match</t>
  </si>
  <si>
    <t xml:space="preserve">Cash controller, MD</t>
  </si>
  <si>
    <t xml:space="preserve">G04</t>
  </si>
  <si>
    <t xml:space="preserve">Loss report: refunds, voids, discounts by cashier</t>
  </si>
  <si>
    <t xml:space="preserve">MD, Auditor</t>
  </si>
  <si>
    <t xml:space="preserve">G05</t>
  </si>
  <si>
    <t xml:space="preserve">Loss report: count variance and write-offs</t>
  </si>
  <si>
    <t xml:space="preserve">G06</t>
  </si>
  <si>
    <t xml:space="preserve">Loss report: negative stock and manual adjustments</t>
  </si>
  <si>
    <t xml:space="preserve">G07</t>
  </si>
  <si>
    <t xml:space="preserve">Loss report: failed deliveries and COD uncollected</t>
  </si>
  <si>
    <t xml:space="preserve">Delivery coordinator, MD</t>
  </si>
  <si>
    <t xml:space="preserve">G08</t>
  </si>
  <si>
    <t xml:space="preserve">Loss report: Paystack versus orders</t>
  </si>
  <si>
    <t xml:space="preserve">G09</t>
  </si>
  <si>
    <t xml:space="preserve">Loss report: price and margin changes</t>
  </si>
  <si>
    <t xml:space="preserve">G10</t>
  </si>
  <si>
    <t xml:space="preserve">MD morning dashboard</t>
  </si>
  <si>
    <t xml:space="preserve">MD</t>
  </si>
  <si>
    <t xml:space="preserve">Dashboard, Number Card</t>
  </si>
  <si>
    <t xml:space="preserve">N01</t>
  </si>
  <si>
    <t xml:space="preserve">Admin and IT</t>
  </si>
  <si>
    <t xml:space="preserve">Users and roles</t>
  </si>
  <si>
    <t xml:space="preserve">User, Role Permission</t>
  </si>
  <si>
    <t xml:space="preserve">N02</t>
  </si>
  <si>
    <t xml:space="preserve">Break-glass admin access (MD-held)</t>
  </si>
  <si>
    <t xml:space="preserve">P06</t>
  </si>
  <si>
    <t xml:space="preserve">Print templates (A5 invoice and receipt, statement, delivery note, transfer note)</t>
  </si>
  <si>
    <t xml:space="preserve">Print Format</t>
  </si>
  <si>
    <t xml:space="preserve">Template</t>
  </si>
  <si>
    <t xml:space="preserve">CR01</t>
  </si>
  <si>
    <t xml:space="preserve">Credit sales</t>
  </si>
  <si>
    <t xml:space="preserve">Credit sale at till (balance and limit check)</t>
  </si>
  <si>
    <t xml:space="preserve">Sales Invoice, Customer credit limit</t>
  </si>
  <si>
    <t xml:space="preserve">CR02</t>
  </si>
  <si>
    <t xml:space="preserve">Record customer payment against invoices</t>
  </si>
  <si>
    <t xml:space="preserve">Cashier, Accountant</t>
  </si>
  <si>
    <t xml:space="preserve">Payment Entry</t>
  </si>
  <si>
    <t xml:space="preserve">CR03</t>
  </si>
  <si>
    <t xml:space="preserve">Customer statement (A5 or A4 print)</t>
  </si>
  <si>
    <t xml:space="preserve">Credit controller, Customer success</t>
  </si>
  <si>
    <t xml:space="preserve">Statement of Account report</t>
  </si>
  <si>
    <t xml:space="preserve">CR04</t>
  </si>
  <si>
    <t xml:space="preserve">Receivables ageing and collections list</t>
  </si>
  <si>
    <t xml:space="preserve">Credit controller</t>
  </si>
  <si>
    <t xml:space="preserve">Accounts Receivable report</t>
  </si>
  <si>
    <t xml:space="preserve">CR05</t>
  </si>
  <si>
    <t xml:space="preserve">Credit limit request and approval</t>
  </si>
  <si>
    <t xml:space="preserve">Credit controller, MD</t>
  </si>
  <si>
    <t xml:space="preserve">Customer credit limit (no workflow)</t>
  </si>
  <si>
    <t xml:space="preserve">EX01</t>
  </si>
  <si>
    <t xml:space="preserve">Expenses</t>
  </si>
  <si>
    <t xml:space="preserve">Expense request with receipt photo</t>
  </si>
  <si>
    <t xml:space="preserve">Expense Claim</t>
  </si>
  <si>
    <t xml:space="preserve">EX02</t>
  </si>
  <si>
    <t xml:space="preserve">Expense approval (in approvals inbox)</t>
  </si>
  <si>
    <t xml:space="preserve">Expense Claim workflow</t>
  </si>
  <si>
    <t xml:space="preserve">EX03</t>
  </si>
  <si>
    <t xml:space="preserve">Petty cash float and reconciliation</t>
  </si>
  <si>
    <t xml:space="preserve">Cash controller, Branch manager</t>
  </si>
  <si>
    <t xml:space="preserve">Journal Entry (no float concept)</t>
  </si>
  <si>
    <t xml:space="preserve">EX04</t>
  </si>
  <si>
    <t xml:space="preserve">Company expenses: vendor bills, rent, utilities</t>
  </si>
  <si>
    <t xml:space="preserve">Purchase Invoice, Journal Entry</t>
  </si>
  <si>
    <t xml:space="preserve">AS01</t>
  </si>
  <si>
    <t xml:space="preserve">Assets</t>
  </si>
  <si>
    <t xml:space="preserve">Asset register and lookup</t>
  </si>
  <si>
    <t xml:space="preserve">Accountant, Branch manager</t>
  </si>
  <si>
    <t xml:space="preserve">Asset</t>
  </si>
  <si>
    <t xml:space="preserve">AS02</t>
  </si>
  <si>
    <t xml:space="preserve">Asset assignment and transfer between branches</t>
  </si>
  <si>
    <t xml:space="preserve">Branch manager, Accountant</t>
  </si>
  <si>
    <t xml:space="preserve">Asset Movement</t>
  </si>
  <si>
    <t xml:space="preserve">AS03</t>
  </si>
  <si>
    <t xml:space="preserve">Asset maintenance request and schedule</t>
  </si>
  <si>
    <t xml:space="preserve">Branch manager, Technician</t>
  </si>
  <si>
    <t xml:space="preserve">Asset Maintenance</t>
  </si>
  <si>
    <t xml:space="preserve">AS04</t>
  </si>
  <si>
    <t xml:space="preserve">Asset purchase, capitalisation and depreciation</t>
  </si>
  <si>
    <t xml:space="preserve">Asset, Depreciation Schedule</t>
  </si>
  <si>
    <t xml:space="preserve">AS05</t>
  </si>
  <si>
    <t xml:space="preserve">Asset disposal and write-off approval</t>
  </si>
  <si>
    <t xml:space="preserve">Asset (scrap or sell)</t>
  </si>
  <si>
    <t xml:space="preserve">AS06</t>
  </si>
  <si>
    <t xml:space="preserve">Asset count and verification by scanning tag</t>
  </si>
  <si>
    <t xml:space="preserve">Auditor, Stock controller</t>
  </si>
  <si>
    <t xml:space="preserve">Front-end sprint plan (two-week sprints)</t>
  </si>
  <si>
    <t xml:space="preserve">Assumes about 20 productive hours a week for one part-time developer plus Claude Code. Blue cells are inputs. Plan written 31 Oct 2026.</t>
  </si>
  <si>
    <t xml:space="preserve">Dates</t>
  </si>
  <si>
    <t xml:space="preserve">Goal</t>
  </si>
  <si>
    <t xml:space="preserve">Delivers</t>
  </si>
  <si>
    <t xml:space="preserve">Demo outcome</t>
  </si>
  <si>
    <t xml:space="preserve">Planned hours</t>
  </si>
  <si>
    <t xml:space="preserve">Screens in sprint</t>
  </si>
  <si>
    <t xml:space="preserve">2 to 13 Nov 2026</t>
  </si>
  <si>
    <t xml:space="preserve">Foundation</t>
  </si>
  <si>
    <t xml:space="preserve">Monorepo, CI, mock server, tenant.json loader, design tokens, app shell, login, permission-driven navigation for 3 roles, offline bar</t>
  </si>
  <si>
    <t xml:space="preserve">Log in as 3 roles and see different menus; swap tokens; rebrand from tenant.json</t>
  </si>
  <si>
    <t xml:space="preserve">16 to 27 Nov 2026</t>
  </si>
  <si>
    <t xml:space="preserve">Cashier core</t>
  </si>
  <si>
    <t xml:space="preserve">Offline queue with idempotency keys, scanner, Till, parked sales, shift open and close, sync tray, A5 invoice and receipt printing through the browser</t>
  </si>
  <si>
    <t xml:space="preserve">Ring a sale offline on a tablet, reconnect, see it post once</t>
  </si>
  <si>
    <t xml:space="preserve">30 Nov to 11 Dec 2026</t>
  </si>
  <si>
    <t xml:space="preserve">Cash and approvals</t>
  </si>
  <si>
    <t xml:space="preserve">Returns, needs-manager request, credit sale at till, approvals inbox, cash-up count and sign-off, manager home, cash-up variance report, stock request</t>
  </si>
  <si>
    <t xml:space="preserve">Cashier asks for a discount, manager approves on phone, cash-up shows variance</t>
  </si>
  <si>
    <t xml:space="preserve">14 to 25 Dec 2026</t>
  </si>
  <si>
    <t xml:space="preserve">Stock and delivery slice</t>
  </si>
  <si>
    <t xml:space="preserve">Goods and transfer receipt, blind count, write-off request, dispatch board, rider trips, proof of delivery, cash remittance, in-transit report</t>
  </si>
  <si>
    <t xml:space="preserve">Receive a transfer by scan; rider completes a delivery offline with photo</t>
  </si>
  <si>
    <t xml:space="preserve">Buffer</t>
  </si>
  <si>
    <t xml:space="preserve">28 to 31 Dec 2026</t>
  </si>
  <si>
    <t xml:space="preserve">Handover</t>
  </si>
  <si>
    <t xml:space="preserve">Bug fixes, runbook, Storybook, test report, handover session</t>
  </si>
  <si>
    <t xml:space="preserve">Second person runs it from the runbook</t>
  </si>
  <si>
    <t xml:space="preserve">S5</t>
  </si>
  <si>
    <t xml:space="preserve">Jan 2027</t>
  </si>
  <si>
    <t xml:space="preserve">ERPNext adapter (reads)</t>
  </si>
  <si>
    <t xml:space="preserve">Read adapter against staging ERPNext, contract tests on both adapters</t>
  </si>
  <si>
    <t xml:space="preserve">Same screens show real data</t>
  </si>
  <si>
    <t xml:space="preserve">Jan to Feb 2027</t>
  </si>
  <si>
    <t xml:space="preserve">Adapter writes and pilot hardening</t>
  </si>
  <si>
    <t xml:space="preserve">Write adapter, 3G testing, fixes from cashier and rider feedback, notifications, attendance view, customer payments and statements, expense requests and approval</t>
  </si>
  <si>
    <t xml:space="preserve">Pilot cashier sells on real back end</t>
  </si>
  <si>
    <t xml:space="preserve">Feb 2027</t>
  </si>
  <si>
    <t xml:space="preserve">Loss reports and stock extras</t>
  </si>
  <si>
    <t xml:space="preserve">Unbanked cash, refunds and voids, count variance, negative stock, failed deliveries, quarantine, returns inspection, serial check, cross-branch cash-up, receivables ageing, credit limits, petty cash</t>
  </si>
  <si>
    <t xml:space="preserve">Daily loss report runs for pilot branch</t>
  </si>
  <si>
    <t xml:space="preserve">Mar 2027</t>
  </si>
  <si>
    <t xml:space="preserve">Repairs and sales rep</t>
  </si>
  <si>
    <t xml:space="preserve">Repair intake, jobs, parts, quote; rep stock check and order</t>
  </si>
  <si>
    <t xml:space="preserve">Technician logs a repair end to end</t>
  </si>
  <si>
    <t xml:space="preserve">Payments and payouts</t>
  </si>
  <si>
    <t xml:space="preserve">Paystack reconciliation, payee whitelist, payout batch, VAT, online orders queue, Paystack report</t>
  </si>
  <si>
    <t xml:space="preserve">Payout batch needs MD code</t>
  </si>
  <si>
    <t xml:space="preserve">Apr 2027</t>
  </si>
  <si>
    <t xml:space="preserve">MD view and config</t>
  </si>
  <si>
    <t xml:space="preserve">MD dashboard, price and margin report, break-glass access, config console, design system swap</t>
  </si>
  <si>
    <t xml:space="preserve">Second company rebranded from config only</t>
  </si>
  <si>
    <t xml:space="preserve">Total planned hours</t>
  </si>
  <si>
    <t xml:space="preserve">Hours before 31 Dec (S1 to Buffer)</t>
  </si>
  <si>
    <t xml:space="preserve">Note: about 8.5 weeks (roughly 170 hours) remain before 31 Dec 2026, so only S1 to S4 plus a handover buffer fit. S5 onward needs a continuing owner.</t>
  </si>
  <si>
    <t xml:space="preserve">Summary (updates when the Screens tab changes)</t>
  </si>
  <si>
    <t xml:space="preserve">Screens</t>
  </si>
  <si>
    <t xml:space="preserve">Of which MVP</t>
  </si>
  <si>
    <t xml:space="preserve">Total</t>
  </si>
  <si>
    <t xml:space="preserve">Note: the product manager's MVP list included unbanked cash; it is placed in S7 here because it needs deposit data from the back end.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</si>
</sst>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1F1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28"/>
    <col collapsed="false" customWidth="true" hidden="false" outlineLevel="0" max="5" min="5" style="0" width="32"/>
    <col collapsed="false" customWidth="true" hidden="false" outlineLevel="0" max="6" min="6" style="0" width="16"/>
    <col collapsed="false" customWidth="true" hidden="false" outlineLevel="0" max="8" min="7" style="0" width="14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5" t="s">
        <v>18</v>
      </c>
      <c r="G5" s="4" t="s">
        <v>19</v>
      </c>
      <c r="H5" s="4" t="s">
        <v>16</v>
      </c>
      <c r="I5" s="4" t="s">
        <v>20</v>
      </c>
      <c r="J5" s="5" t="s">
        <v>21</v>
      </c>
      <c r="K5" s="5" t="s">
        <v>22</v>
      </c>
    </row>
    <row r="6" customFormat="false" ht="15" hidden="false" customHeight="false" outlineLevel="0" collapsed="false">
      <c r="A6" s="4" t="s">
        <v>23</v>
      </c>
      <c r="B6" s="4" t="s">
        <v>14</v>
      </c>
      <c r="C6" s="4" t="s">
        <v>24</v>
      </c>
      <c r="D6" s="4" t="s">
        <v>16</v>
      </c>
      <c r="E6" s="4" t="s">
        <v>25</v>
      </c>
      <c r="F6" s="5" t="s">
        <v>18</v>
      </c>
      <c r="G6" s="4" t="s">
        <v>26</v>
      </c>
      <c r="H6" s="4" t="s">
        <v>16</v>
      </c>
      <c r="I6" s="4" t="s">
        <v>27</v>
      </c>
      <c r="J6" s="5" t="s">
        <v>21</v>
      </c>
      <c r="K6" s="5" t="s">
        <v>22</v>
      </c>
    </row>
    <row r="7" customFormat="false" ht="15" hidden="false" customHeight="false" outlineLevel="0" collapsed="false">
      <c r="A7" s="4" t="s">
        <v>28</v>
      </c>
      <c r="B7" s="4" t="s">
        <v>14</v>
      </c>
      <c r="C7" s="4" t="s">
        <v>29</v>
      </c>
      <c r="D7" s="4" t="s">
        <v>16</v>
      </c>
      <c r="E7" s="4" t="s">
        <v>30</v>
      </c>
      <c r="F7" s="5" t="s">
        <v>18</v>
      </c>
      <c r="G7" s="4" t="s">
        <v>31</v>
      </c>
      <c r="H7" s="4" t="s">
        <v>16</v>
      </c>
      <c r="I7" s="4" t="s">
        <v>32</v>
      </c>
      <c r="J7" s="5" t="s">
        <v>21</v>
      </c>
      <c r="K7" s="5" t="s">
        <v>33</v>
      </c>
    </row>
    <row r="8" customFormat="false" ht="23.85" hidden="false" customHeight="false" outlineLevel="0" collapsed="false">
      <c r="A8" s="4" t="s">
        <v>34</v>
      </c>
      <c r="B8" s="4" t="s">
        <v>14</v>
      </c>
      <c r="C8" s="4" t="s">
        <v>35</v>
      </c>
      <c r="D8" s="4" t="s">
        <v>16</v>
      </c>
      <c r="E8" s="4" t="s">
        <v>36</v>
      </c>
      <c r="F8" s="5" t="s">
        <v>37</v>
      </c>
      <c r="G8" s="4" t="s">
        <v>31</v>
      </c>
      <c r="H8" s="4" t="s">
        <v>16</v>
      </c>
      <c r="I8" s="4" t="s">
        <v>38</v>
      </c>
      <c r="J8" s="5" t="s">
        <v>39</v>
      </c>
      <c r="K8" s="5" t="s">
        <v>40</v>
      </c>
    </row>
    <row r="9" customFormat="false" ht="15" hidden="false" customHeight="false" outlineLevel="0" collapsed="false">
      <c r="A9" s="4" t="s">
        <v>41</v>
      </c>
      <c r="B9" s="4" t="s">
        <v>14</v>
      </c>
      <c r="C9" s="4" t="s">
        <v>42</v>
      </c>
      <c r="D9" s="4" t="s">
        <v>43</v>
      </c>
      <c r="E9" s="4" t="s">
        <v>30</v>
      </c>
      <c r="F9" s="5" t="s">
        <v>18</v>
      </c>
      <c r="G9" s="4" t="s">
        <v>19</v>
      </c>
      <c r="H9" s="4" t="s">
        <v>44</v>
      </c>
      <c r="I9" s="4" t="s">
        <v>38</v>
      </c>
      <c r="J9" s="5" t="s">
        <v>39</v>
      </c>
      <c r="K9" s="5" t="s">
        <v>45</v>
      </c>
    </row>
    <row r="10" customFormat="false" ht="15" hidden="false" customHeight="false" outlineLevel="0" collapsed="false">
      <c r="A10" s="4" t="s">
        <v>46</v>
      </c>
      <c r="B10" s="4" t="s">
        <v>47</v>
      </c>
      <c r="C10" s="4" t="s">
        <v>48</v>
      </c>
      <c r="D10" s="4" t="s">
        <v>49</v>
      </c>
      <c r="E10" s="4" t="s">
        <v>50</v>
      </c>
      <c r="F10" s="5" t="s">
        <v>18</v>
      </c>
      <c r="G10" s="4" t="s">
        <v>51</v>
      </c>
      <c r="H10" s="4" t="s">
        <v>52</v>
      </c>
      <c r="I10" s="4" t="s">
        <v>32</v>
      </c>
      <c r="J10" s="5" t="s">
        <v>21</v>
      </c>
      <c r="K10" s="5" t="s">
        <v>33</v>
      </c>
    </row>
    <row r="11" customFormat="false" ht="15" hidden="false" customHeight="false" outlineLevel="0" collapsed="false">
      <c r="A11" s="4" t="s">
        <v>53</v>
      </c>
      <c r="B11" s="4" t="s">
        <v>47</v>
      </c>
      <c r="C11" s="4" t="s">
        <v>54</v>
      </c>
      <c r="D11" s="4" t="s">
        <v>49</v>
      </c>
      <c r="E11" s="4" t="s">
        <v>55</v>
      </c>
      <c r="F11" s="5" t="s">
        <v>18</v>
      </c>
      <c r="G11" s="4" t="s">
        <v>31</v>
      </c>
      <c r="H11" s="4" t="s">
        <v>52</v>
      </c>
      <c r="I11" s="4" t="s">
        <v>32</v>
      </c>
      <c r="J11" s="5" t="s">
        <v>21</v>
      </c>
      <c r="K11" s="5" t="s">
        <v>33</v>
      </c>
    </row>
    <row r="12" customFormat="false" ht="23.85" hidden="false" customHeight="false" outlineLevel="0" collapsed="false">
      <c r="A12" s="4" t="s">
        <v>56</v>
      </c>
      <c r="B12" s="4" t="s">
        <v>47</v>
      </c>
      <c r="C12" s="4" t="s">
        <v>57</v>
      </c>
      <c r="D12" s="4" t="s">
        <v>49</v>
      </c>
      <c r="E12" s="4" t="s">
        <v>58</v>
      </c>
      <c r="F12" s="5" t="s">
        <v>37</v>
      </c>
      <c r="G12" s="4" t="s">
        <v>59</v>
      </c>
      <c r="H12" s="4" t="s">
        <v>52</v>
      </c>
      <c r="I12" s="4" t="s">
        <v>32</v>
      </c>
      <c r="J12" s="5" t="s">
        <v>21</v>
      </c>
      <c r="K12" s="5" t="s">
        <v>33</v>
      </c>
    </row>
    <row r="13" customFormat="false" ht="23.85" hidden="false" customHeight="false" outlineLevel="0" collapsed="false">
      <c r="A13" s="4" t="s">
        <v>60</v>
      </c>
      <c r="B13" s="4" t="s">
        <v>47</v>
      </c>
      <c r="C13" s="4" t="s">
        <v>61</v>
      </c>
      <c r="D13" s="4" t="s">
        <v>62</v>
      </c>
      <c r="E13" s="4" t="s">
        <v>63</v>
      </c>
      <c r="F13" s="5" t="s">
        <v>37</v>
      </c>
      <c r="G13" s="4" t="s">
        <v>31</v>
      </c>
      <c r="H13" s="4" t="s">
        <v>64</v>
      </c>
      <c r="I13" s="4" t="s">
        <v>27</v>
      </c>
      <c r="J13" s="5" t="s">
        <v>21</v>
      </c>
      <c r="K13" s="5" t="s">
        <v>33</v>
      </c>
    </row>
    <row r="14" customFormat="false" ht="15" hidden="false" customHeight="false" outlineLevel="0" collapsed="false">
      <c r="A14" s="4" t="s">
        <v>65</v>
      </c>
      <c r="B14" s="4" t="s">
        <v>47</v>
      </c>
      <c r="C14" s="4" t="s">
        <v>66</v>
      </c>
      <c r="D14" s="4" t="s">
        <v>49</v>
      </c>
      <c r="E14" s="4" t="s">
        <v>30</v>
      </c>
      <c r="F14" s="5" t="s">
        <v>18</v>
      </c>
      <c r="G14" s="4" t="s">
        <v>67</v>
      </c>
      <c r="H14" s="4" t="s">
        <v>52</v>
      </c>
      <c r="I14" s="4" t="s">
        <v>38</v>
      </c>
      <c r="J14" s="5" t="s">
        <v>21</v>
      </c>
      <c r="K14" s="5" t="s">
        <v>68</v>
      </c>
    </row>
    <row r="15" customFormat="false" ht="15" hidden="false" customHeight="false" outlineLevel="0" collapsed="false">
      <c r="A15" s="4" t="s">
        <v>69</v>
      </c>
      <c r="B15" s="4" t="s">
        <v>47</v>
      </c>
      <c r="C15" s="4" t="s">
        <v>70</v>
      </c>
      <c r="D15" s="4" t="s">
        <v>71</v>
      </c>
      <c r="E15" s="4" t="s">
        <v>72</v>
      </c>
      <c r="F15" s="5" t="s">
        <v>18</v>
      </c>
      <c r="G15" s="4" t="s">
        <v>51</v>
      </c>
      <c r="H15" s="4" t="s">
        <v>73</v>
      </c>
      <c r="I15" s="4" t="s">
        <v>27</v>
      </c>
      <c r="J15" s="5" t="s">
        <v>39</v>
      </c>
      <c r="K15" s="5" t="s">
        <v>74</v>
      </c>
    </row>
    <row r="16" customFormat="false" ht="23.85" hidden="false" customHeight="false" outlineLevel="0" collapsed="false">
      <c r="A16" s="4" t="s">
        <v>75</v>
      </c>
      <c r="B16" s="4" t="s">
        <v>76</v>
      </c>
      <c r="C16" s="4" t="s">
        <v>77</v>
      </c>
      <c r="D16" s="4" t="s">
        <v>78</v>
      </c>
      <c r="E16" s="4" t="s">
        <v>79</v>
      </c>
      <c r="F16" s="5" t="s">
        <v>37</v>
      </c>
      <c r="G16" s="4" t="s">
        <v>31</v>
      </c>
      <c r="H16" s="4" t="s">
        <v>44</v>
      </c>
      <c r="I16" s="4" t="s">
        <v>38</v>
      </c>
      <c r="J16" s="5" t="s">
        <v>39</v>
      </c>
      <c r="K16" s="5" t="s">
        <v>80</v>
      </c>
    </row>
    <row r="17" customFormat="false" ht="15" hidden="false" customHeight="false" outlineLevel="0" collapsed="false">
      <c r="A17" s="4" t="s">
        <v>81</v>
      </c>
      <c r="B17" s="4" t="s">
        <v>76</v>
      </c>
      <c r="C17" s="4" t="s">
        <v>82</v>
      </c>
      <c r="D17" s="4" t="s">
        <v>63</v>
      </c>
      <c r="E17" s="4" t="s">
        <v>83</v>
      </c>
      <c r="F17" s="5" t="s">
        <v>18</v>
      </c>
      <c r="G17" s="4" t="s">
        <v>84</v>
      </c>
      <c r="H17" s="4" t="s">
        <v>73</v>
      </c>
      <c r="I17" s="4" t="s">
        <v>38</v>
      </c>
      <c r="J17" s="5" t="s">
        <v>39</v>
      </c>
      <c r="K17" s="5" t="s">
        <v>85</v>
      </c>
    </row>
    <row r="18" customFormat="false" ht="15" hidden="false" customHeight="false" outlineLevel="0" collapsed="false">
      <c r="A18" s="4" t="s">
        <v>86</v>
      </c>
      <c r="B18" s="4" t="s">
        <v>76</v>
      </c>
      <c r="C18" s="4" t="s">
        <v>87</v>
      </c>
      <c r="D18" s="4" t="s">
        <v>63</v>
      </c>
      <c r="E18" s="4" t="s">
        <v>30</v>
      </c>
      <c r="F18" s="5" t="s">
        <v>18</v>
      </c>
      <c r="G18" s="4" t="s">
        <v>51</v>
      </c>
      <c r="H18" s="4" t="s">
        <v>73</v>
      </c>
      <c r="I18" s="4" t="s">
        <v>38</v>
      </c>
      <c r="J18" s="5" t="s">
        <v>39</v>
      </c>
      <c r="K18" s="5" t="s">
        <v>85</v>
      </c>
    </row>
    <row r="19" customFormat="false" ht="23.85" hidden="false" customHeight="false" outlineLevel="0" collapsed="false">
      <c r="A19" s="4" t="s">
        <v>88</v>
      </c>
      <c r="B19" s="4" t="s">
        <v>89</v>
      </c>
      <c r="C19" s="4" t="s">
        <v>90</v>
      </c>
      <c r="D19" s="4" t="s">
        <v>91</v>
      </c>
      <c r="E19" s="4" t="s">
        <v>92</v>
      </c>
      <c r="F19" s="5" t="s">
        <v>37</v>
      </c>
      <c r="G19" s="4" t="s">
        <v>93</v>
      </c>
      <c r="H19" s="4" t="s">
        <v>44</v>
      </c>
      <c r="I19" s="4" t="s">
        <v>38</v>
      </c>
      <c r="J19" s="5" t="s">
        <v>39</v>
      </c>
      <c r="K19" s="5" t="s">
        <v>85</v>
      </c>
    </row>
    <row r="20" customFormat="false" ht="15" hidden="false" customHeight="false" outlineLevel="0" collapsed="false">
      <c r="A20" s="4" t="s">
        <v>94</v>
      </c>
      <c r="B20" s="4" t="s">
        <v>89</v>
      </c>
      <c r="C20" s="4" t="s">
        <v>95</v>
      </c>
      <c r="D20" s="4" t="s">
        <v>71</v>
      </c>
      <c r="E20" s="4" t="s">
        <v>96</v>
      </c>
      <c r="F20" s="5" t="s">
        <v>97</v>
      </c>
      <c r="G20" s="4" t="s">
        <v>98</v>
      </c>
      <c r="H20" s="4" t="s">
        <v>44</v>
      </c>
      <c r="I20" s="4" t="s">
        <v>38</v>
      </c>
      <c r="J20" s="5" t="s">
        <v>39</v>
      </c>
      <c r="K20" s="5" t="s">
        <v>85</v>
      </c>
    </row>
    <row r="21" customFormat="false" ht="23.85" hidden="false" customHeight="false" outlineLevel="0" collapsed="false">
      <c r="A21" s="4" t="s">
        <v>99</v>
      </c>
      <c r="B21" s="4" t="s">
        <v>100</v>
      </c>
      <c r="C21" s="4" t="s">
        <v>101</v>
      </c>
      <c r="D21" s="4" t="s">
        <v>100</v>
      </c>
      <c r="E21" s="4" t="s">
        <v>102</v>
      </c>
      <c r="F21" s="5" t="s">
        <v>37</v>
      </c>
      <c r="G21" s="4" t="s">
        <v>93</v>
      </c>
      <c r="H21" s="4" t="s">
        <v>44</v>
      </c>
      <c r="I21" s="4" t="s">
        <v>38</v>
      </c>
      <c r="J21" s="5" t="s">
        <v>39</v>
      </c>
      <c r="K21" s="5" t="s">
        <v>85</v>
      </c>
    </row>
    <row r="22" customFormat="false" ht="15" hidden="false" customHeight="false" outlineLevel="0" collapsed="false">
      <c r="A22" s="4" t="s">
        <v>103</v>
      </c>
      <c r="B22" s="4" t="s">
        <v>100</v>
      </c>
      <c r="C22" s="4" t="s">
        <v>104</v>
      </c>
      <c r="D22" s="4" t="s">
        <v>100</v>
      </c>
      <c r="E22" s="4" t="s">
        <v>30</v>
      </c>
      <c r="F22" s="5" t="s">
        <v>18</v>
      </c>
      <c r="G22" s="4" t="s">
        <v>19</v>
      </c>
      <c r="H22" s="4" t="s">
        <v>44</v>
      </c>
      <c r="I22" s="4" t="s">
        <v>38</v>
      </c>
      <c r="J22" s="5" t="s">
        <v>39</v>
      </c>
      <c r="K22" s="5" t="s">
        <v>85</v>
      </c>
    </row>
    <row r="23" customFormat="false" ht="23.85" hidden="false" customHeight="false" outlineLevel="0" collapsed="false">
      <c r="A23" s="4" t="s">
        <v>105</v>
      </c>
      <c r="B23" s="4" t="s">
        <v>106</v>
      </c>
      <c r="C23" s="4" t="s">
        <v>107</v>
      </c>
      <c r="D23" s="4" t="s">
        <v>106</v>
      </c>
      <c r="E23" s="4" t="s">
        <v>108</v>
      </c>
      <c r="F23" s="5" t="s">
        <v>37</v>
      </c>
      <c r="G23" s="4" t="s">
        <v>109</v>
      </c>
      <c r="H23" s="4" t="s">
        <v>44</v>
      </c>
      <c r="I23" s="4" t="s">
        <v>38</v>
      </c>
      <c r="J23" s="5" t="s">
        <v>39</v>
      </c>
      <c r="K23" s="5" t="s">
        <v>85</v>
      </c>
    </row>
    <row r="24" customFormat="false" ht="15" hidden="false" customHeight="false" outlineLevel="0" collapsed="false">
      <c r="A24" s="4" t="s">
        <v>110</v>
      </c>
      <c r="B24" s="4" t="s">
        <v>106</v>
      </c>
      <c r="C24" s="4" t="s">
        <v>111</v>
      </c>
      <c r="D24" s="4" t="s">
        <v>106</v>
      </c>
      <c r="E24" s="4" t="s">
        <v>112</v>
      </c>
      <c r="F24" s="5" t="s">
        <v>18</v>
      </c>
      <c r="G24" s="4" t="s">
        <v>31</v>
      </c>
      <c r="H24" s="4" t="s">
        <v>44</v>
      </c>
      <c r="I24" s="4" t="s">
        <v>38</v>
      </c>
      <c r="J24" s="5" t="s">
        <v>39</v>
      </c>
      <c r="K24" s="5" t="s">
        <v>85</v>
      </c>
    </row>
    <row r="25" customFormat="false" ht="23.85" hidden="false" customHeight="false" outlineLevel="0" collapsed="false">
      <c r="A25" s="4" t="s">
        <v>113</v>
      </c>
      <c r="B25" s="4" t="s">
        <v>106</v>
      </c>
      <c r="C25" s="4" t="s">
        <v>114</v>
      </c>
      <c r="D25" s="4" t="s">
        <v>106</v>
      </c>
      <c r="E25" s="4" t="s">
        <v>115</v>
      </c>
      <c r="F25" s="5" t="s">
        <v>37</v>
      </c>
      <c r="G25" s="4" t="s">
        <v>31</v>
      </c>
      <c r="H25" s="4" t="s">
        <v>44</v>
      </c>
      <c r="I25" s="4" t="s">
        <v>38</v>
      </c>
      <c r="J25" s="5" t="s">
        <v>39</v>
      </c>
      <c r="K25" s="5" t="s">
        <v>85</v>
      </c>
    </row>
    <row r="26" customFormat="false" ht="23.85" hidden="false" customHeight="false" outlineLevel="0" collapsed="false">
      <c r="A26" s="4" t="s">
        <v>116</v>
      </c>
      <c r="B26" s="4" t="s">
        <v>117</v>
      </c>
      <c r="C26" s="4" t="s">
        <v>118</v>
      </c>
      <c r="D26" s="4" t="s">
        <v>119</v>
      </c>
      <c r="E26" s="4" t="s">
        <v>120</v>
      </c>
      <c r="F26" s="5" t="s">
        <v>37</v>
      </c>
      <c r="G26" s="4" t="s">
        <v>19</v>
      </c>
      <c r="H26" s="4" t="s">
        <v>44</v>
      </c>
      <c r="I26" s="4" t="s">
        <v>38</v>
      </c>
      <c r="J26" s="5" t="s">
        <v>39</v>
      </c>
      <c r="K26" s="5" t="s">
        <v>85</v>
      </c>
    </row>
    <row r="27" customFormat="false" ht="23.85" hidden="false" customHeight="false" outlineLevel="0" collapsed="false">
      <c r="A27" s="4" t="s">
        <v>121</v>
      </c>
      <c r="B27" s="4" t="s">
        <v>122</v>
      </c>
      <c r="C27" s="4" t="s">
        <v>123</v>
      </c>
      <c r="D27" s="4" t="s">
        <v>124</v>
      </c>
      <c r="E27" s="4" t="s">
        <v>125</v>
      </c>
      <c r="F27" s="5" t="s">
        <v>37</v>
      </c>
      <c r="G27" s="4" t="s">
        <v>109</v>
      </c>
      <c r="H27" s="4" t="s">
        <v>44</v>
      </c>
      <c r="I27" s="4" t="s">
        <v>38</v>
      </c>
      <c r="J27" s="5" t="s">
        <v>39</v>
      </c>
      <c r="K27" s="5" t="s">
        <v>85</v>
      </c>
    </row>
    <row r="28" customFormat="false" ht="23.85" hidden="false" customHeight="false" outlineLevel="0" collapsed="false">
      <c r="A28" s="4" t="s">
        <v>126</v>
      </c>
      <c r="B28" s="4" t="s">
        <v>122</v>
      </c>
      <c r="C28" s="4" t="s">
        <v>127</v>
      </c>
      <c r="D28" s="4" t="s">
        <v>124</v>
      </c>
      <c r="E28" s="4" t="s">
        <v>128</v>
      </c>
      <c r="F28" s="5" t="s">
        <v>37</v>
      </c>
      <c r="G28" s="4" t="s">
        <v>19</v>
      </c>
      <c r="H28" s="4" t="s">
        <v>44</v>
      </c>
      <c r="I28" s="4" t="s">
        <v>38</v>
      </c>
      <c r="J28" s="5" t="s">
        <v>39</v>
      </c>
      <c r="K28" s="5" t="s">
        <v>85</v>
      </c>
    </row>
    <row r="29" customFormat="false" ht="15" hidden="false" customHeight="false" outlineLevel="0" collapsed="false">
      <c r="A29" s="4" t="s">
        <v>129</v>
      </c>
      <c r="B29" s="4" t="s">
        <v>130</v>
      </c>
      <c r="C29" s="4" t="s">
        <v>131</v>
      </c>
      <c r="D29" s="4" t="s">
        <v>132</v>
      </c>
      <c r="E29" s="4" t="s">
        <v>133</v>
      </c>
      <c r="F29" s="5" t="s">
        <v>18</v>
      </c>
      <c r="G29" s="4" t="s">
        <v>51</v>
      </c>
      <c r="H29" s="4" t="s">
        <v>52</v>
      </c>
      <c r="I29" s="4" t="s">
        <v>32</v>
      </c>
      <c r="J29" s="5" t="s">
        <v>21</v>
      </c>
      <c r="K29" s="5" t="s">
        <v>134</v>
      </c>
    </row>
    <row r="30" customFormat="false" ht="23.85" hidden="false" customHeight="false" outlineLevel="0" collapsed="false">
      <c r="A30" s="4" t="s">
        <v>135</v>
      </c>
      <c r="B30" s="4" t="s">
        <v>130</v>
      </c>
      <c r="C30" s="4" t="s">
        <v>136</v>
      </c>
      <c r="D30" s="4" t="s">
        <v>137</v>
      </c>
      <c r="E30" s="4" t="s">
        <v>138</v>
      </c>
      <c r="F30" s="5" t="s">
        <v>37</v>
      </c>
      <c r="G30" s="4" t="s">
        <v>19</v>
      </c>
      <c r="H30" s="4" t="s">
        <v>64</v>
      </c>
      <c r="I30" s="4" t="s">
        <v>38</v>
      </c>
      <c r="J30" s="5" t="s">
        <v>21</v>
      </c>
      <c r="K30" s="5" t="s">
        <v>68</v>
      </c>
    </row>
    <row r="31" customFormat="false" ht="23.85" hidden="false" customHeight="false" outlineLevel="0" collapsed="false">
      <c r="A31" s="4" t="s">
        <v>139</v>
      </c>
      <c r="B31" s="4" t="s">
        <v>130</v>
      </c>
      <c r="C31" s="4" t="s">
        <v>140</v>
      </c>
      <c r="D31" s="4" t="s">
        <v>132</v>
      </c>
      <c r="E31" s="4" t="s">
        <v>141</v>
      </c>
      <c r="F31" s="5" t="s">
        <v>37</v>
      </c>
      <c r="G31" s="4" t="s">
        <v>51</v>
      </c>
      <c r="H31" s="4" t="s">
        <v>52</v>
      </c>
      <c r="I31" s="4" t="s">
        <v>32</v>
      </c>
      <c r="J31" s="5" t="s">
        <v>21</v>
      </c>
      <c r="K31" s="5" t="s">
        <v>134</v>
      </c>
    </row>
    <row r="32" customFormat="false" ht="23.85" hidden="false" customHeight="false" outlineLevel="0" collapsed="false">
      <c r="A32" s="4" t="s">
        <v>142</v>
      </c>
      <c r="B32" s="4" t="s">
        <v>130</v>
      </c>
      <c r="C32" s="4" t="s">
        <v>143</v>
      </c>
      <c r="D32" s="4" t="s">
        <v>144</v>
      </c>
      <c r="E32" s="4" t="s">
        <v>145</v>
      </c>
      <c r="F32" s="5" t="s">
        <v>18</v>
      </c>
      <c r="G32" s="4" t="s">
        <v>51</v>
      </c>
      <c r="H32" s="4" t="s">
        <v>52</v>
      </c>
      <c r="I32" s="4" t="s">
        <v>32</v>
      </c>
      <c r="J32" s="5" t="s">
        <v>21</v>
      </c>
      <c r="K32" s="5" t="s">
        <v>134</v>
      </c>
    </row>
    <row r="33" customFormat="false" ht="23.85" hidden="false" customHeight="false" outlineLevel="0" collapsed="false">
      <c r="A33" s="4" t="s">
        <v>146</v>
      </c>
      <c r="B33" s="4" t="s">
        <v>130</v>
      </c>
      <c r="C33" s="4" t="s">
        <v>147</v>
      </c>
      <c r="D33" s="4" t="s">
        <v>148</v>
      </c>
      <c r="E33" s="4" t="s">
        <v>149</v>
      </c>
      <c r="F33" s="5" t="s">
        <v>37</v>
      </c>
      <c r="G33" s="4" t="s">
        <v>31</v>
      </c>
      <c r="H33" s="4" t="s">
        <v>64</v>
      </c>
      <c r="I33" s="4" t="s">
        <v>27</v>
      </c>
      <c r="J33" s="5" t="s">
        <v>21</v>
      </c>
      <c r="K33" s="5" t="s">
        <v>134</v>
      </c>
    </row>
    <row r="34" customFormat="false" ht="23.85" hidden="false" customHeight="false" outlineLevel="0" collapsed="false">
      <c r="A34" s="4" t="s">
        <v>150</v>
      </c>
      <c r="B34" s="4" t="s">
        <v>130</v>
      </c>
      <c r="C34" s="4" t="s">
        <v>151</v>
      </c>
      <c r="D34" s="4" t="s">
        <v>132</v>
      </c>
      <c r="E34" s="4" t="s">
        <v>130</v>
      </c>
      <c r="F34" s="5" t="s">
        <v>37</v>
      </c>
      <c r="G34" s="4" t="s">
        <v>31</v>
      </c>
      <c r="H34" s="4" t="s">
        <v>52</v>
      </c>
      <c r="I34" s="4" t="s">
        <v>32</v>
      </c>
      <c r="J34" s="5" t="s">
        <v>39</v>
      </c>
      <c r="K34" s="5" t="s">
        <v>152</v>
      </c>
    </row>
    <row r="35" customFormat="false" ht="15" hidden="false" customHeight="false" outlineLevel="0" collapsed="false">
      <c r="A35" s="4" t="s">
        <v>153</v>
      </c>
      <c r="B35" s="4" t="s">
        <v>154</v>
      </c>
      <c r="C35" s="4" t="s">
        <v>155</v>
      </c>
      <c r="D35" s="4" t="s">
        <v>156</v>
      </c>
      <c r="E35" s="4" t="s">
        <v>157</v>
      </c>
      <c r="F35" s="5" t="s">
        <v>18</v>
      </c>
      <c r="G35" s="4" t="s">
        <v>51</v>
      </c>
      <c r="H35" s="4" t="s">
        <v>52</v>
      </c>
      <c r="I35" s="4" t="s">
        <v>32</v>
      </c>
      <c r="J35" s="5" t="s">
        <v>21</v>
      </c>
      <c r="K35" s="5" t="s">
        <v>134</v>
      </c>
    </row>
    <row r="36" customFormat="false" ht="15" hidden="false" customHeight="false" outlineLevel="0" collapsed="false">
      <c r="A36" s="4" t="s">
        <v>158</v>
      </c>
      <c r="B36" s="4" t="s">
        <v>154</v>
      </c>
      <c r="C36" s="4" t="s">
        <v>159</v>
      </c>
      <c r="D36" s="4" t="s">
        <v>156</v>
      </c>
      <c r="E36" s="4" t="s">
        <v>160</v>
      </c>
      <c r="F36" s="5" t="s">
        <v>18</v>
      </c>
      <c r="G36" s="4" t="s">
        <v>161</v>
      </c>
      <c r="H36" s="4" t="s">
        <v>52</v>
      </c>
      <c r="I36" s="4" t="s">
        <v>20</v>
      </c>
      <c r="J36" s="5" t="s">
        <v>21</v>
      </c>
      <c r="K36" s="5" t="s">
        <v>134</v>
      </c>
    </row>
    <row r="37" customFormat="false" ht="23.85" hidden="false" customHeight="false" outlineLevel="0" collapsed="false">
      <c r="A37" s="4" t="s">
        <v>162</v>
      </c>
      <c r="B37" s="4" t="s">
        <v>154</v>
      </c>
      <c r="C37" s="4" t="s">
        <v>163</v>
      </c>
      <c r="D37" s="4" t="s">
        <v>164</v>
      </c>
      <c r="E37" s="4" t="s">
        <v>165</v>
      </c>
      <c r="F37" s="5" t="s">
        <v>37</v>
      </c>
      <c r="G37" s="4" t="s">
        <v>51</v>
      </c>
      <c r="H37" s="4" t="s">
        <v>52</v>
      </c>
      <c r="I37" s="4" t="s">
        <v>32</v>
      </c>
      <c r="J37" s="5" t="s">
        <v>39</v>
      </c>
      <c r="K37" s="5" t="s">
        <v>152</v>
      </c>
    </row>
    <row r="38" customFormat="false" ht="23.85" hidden="false" customHeight="false" outlineLevel="0" collapsed="false">
      <c r="A38" s="4" t="s">
        <v>166</v>
      </c>
      <c r="B38" s="4" t="s">
        <v>167</v>
      </c>
      <c r="C38" s="4" t="s">
        <v>168</v>
      </c>
      <c r="D38" s="4" t="s">
        <v>49</v>
      </c>
      <c r="E38" s="4" t="s">
        <v>169</v>
      </c>
      <c r="F38" s="5" t="s">
        <v>37</v>
      </c>
      <c r="G38" s="4" t="s">
        <v>59</v>
      </c>
      <c r="H38" s="4" t="s">
        <v>52</v>
      </c>
      <c r="I38" s="4" t="s">
        <v>20</v>
      </c>
      <c r="J38" s="5" t="s">
        <v>21</v>
      </c>
      <c r="K38" s="5" t="s">
        <v>68</v>
      </c>
    </row>
    <row r="39" customFormat="false" ht="23.85" hidden="false" customHeight="false" outlineLevel="0" collapsed="false">
      <c r="A39" s="4" t="s">
        <v>170</v>
      </c>
      <c r="B39" s="4" t="s">
        <v>167</v>
      </c>
      <c r="C39" s="4" t="s">
        <v>171</v>
      </c>
      <c r="D39" s="4" t="s">
        <v>132</v>
      </c>
      <c r="E39" s="4" t="s">
        <v>172</v>
      </c>
      <c r="F39" s="5" t="s">
        <v>37</v>
      </c>
      <c r="G39" s="4" t="s">
        <v>19</v>
      </c>
      <c r="H39" s="4" t="s">
        <v>52</v>
      </c>
      <c r="I39" s="4" t="s">
        <v>38</v>
      </c>
      <c r="J39" s="5" t="s">
        <v>39</v>
      </c>
      <c r="K39" s="5" t="s">
        <v>85</v>
      </c>
    </row>
    <row r="40" customFormat="false" ht="15" hidden="false" customHeight="false" outlineLevel="0" collapsed="false">
      <c r="A40" s="4" t="s">
        <v>173</v>
      </c>
      <c r="B40" s="4" t="s">
        <v>167</v>
      </c>
      <c r="C40" s="4" t="s">
        <v>174</v>
      </c>
      <c r="D40" s="4" t="s">
        <v>132</v>
      </c>
      <c r="E40" s="4" t="s">
        <v>30</v>
      </c>
      <c r="F40" s="5" t="s">
        <v>18</v>
      </c>
      <c r="G40" s="4" t="s">
        <v>59</v>
      </c>
      <c r="H40" s="4" t="s">
        <v>52</v>
      </c>
      <c r="I40" s="4" t="s">
        <v>20</v>
      </c>
      <c r="J40" s="5" t="s">
        <v>39</v>
      </c>
      <c r="K40" s="5" t="s">
        <v>152</v>
      </c>
    </row>
    <row r="41" customFormat="false" ht="15" hidden="false" customHeight="false" outlineLevel="0" collapsed="false">
      <c r="A41" s="4" t="s">
        <v>175</v>
      </c>
      <c r="B41" s="4" t="s">
        <v>176</v>
      </c>
      <c r="C41" s="4" t="s">
        <v>177</v>
      </c>
      <c r="D41" s="4" t="s">
        <v>178</v>
      </c>
      <c r="E41" s="4" t="s">
        <v>179</v>
      </c>
      <c r="F41" s="5" t="s">
        <v>18</v>
      </c>
      <c r="G41" s="4" t="s">
        <v>26</v>
      </c>
      <c r="H41" s="4" t="s">
        <v>44</v>
      </c>
      <c r="I41" s="4" t="s">
        <v>38</v>
      </c>
      <c r="J41" s="5" t="s">
        <v>21</v>
      </c>
      <c r="K41" s="5" t="s">
        <v>134</v>
      </c>
    </row>
    <row r="42" customFormat="false" ht="15" hidden="false" customHeight="false" outlineLevel="0" collapsed="false">
      <c r="A42" s="4" t="s">
        <v>180</v>
      </c>
      <c r="B42" s="4" t="s">
        <v>176</v>
      </c>
      <c r="C42" s="4" t="s">
        <v>181</v>
      </c>
      <c r="D42" s="4" t="s">
        <v>182</v>
      </c>
      <c r="E42" s="4" t="s">
        <v>30</v>
      </c>
      <c r="F42" s="5" t="s">
        <v>18</v>
      </c>
      <c r="G42" s="4" t="s">
        <v>31</v>
      </c>
      <c r="H42" s="4" t="s">
        <v>73</v>
      </c>
      <c r="I42" s="4" t="s">
        <v>32</v>
      </c>
      <c r="J42" s="5" t="s">
        <v>21</v>
      </c>
      <c r="K42" s="5" t="s">
        <v>134</v>
      </c>
    </row>
    <row r="43" customFormat="false" ht="15" hidden="false" customHeight="false" outlineLevel="0" collapsed="false">
      <c r="A43" s="4" t="s">
        <v>183</v>
      </c>
      <c r="B43" s="4" t="s">
        <v>176</v>
      </c>
      <c r="C43" s="4" t="s">
        <v>184</v>
      </c>
      <c r="D43" s="4" t="s">
        <v>182</v>
      </c>
      <c r="E43" s="4" t="s">
        <v>30</v>
      </c>
      <c r="F43" s="5" t="s">
        <v>18</v>
      </c>
      <c r="G43" s="4" t="s">
        <v>59</v>
      </c>
      <c r="H43" s="4" t="s">
        <v>73</v>
      </c>
      <c r="I43" s="4" t="s">
        <v>32</v>
      </c>
      <c r="J43" s="5" t="s">
        <v>21</v>
      </c>
      <c r="K43" s="5" t="s">
        <v>134</v>
      </c>
    </row>
    <row r="44" customFormat="false" ht="15" hidden="false" customHeight="false" outlineLevel="0" collapsed="false">
      <c r="A44" s="4" t="s">
        <v>185</v>
      </c>
      <c r="B44" s="4" t="s">
        <v>176</v>
      </c>
      <c r="C44" s="4" t="s">
        <v>186</v>
      </c>
      <c r="D44" s="4" t="s">
        <v>187</v>
      </c>
      <c r="E44" s="4" t="s">
        <v>30</v>
      </c>
      <c r="F44" s="5" t="s">
        <v>18</v>
      </c>
      <c r="G44" s="4" t="s">
        <v>19</v>
      </c>
      <c r="H44" s="4" t="s">
        <v>73</v>
      </c>
      <c r="I44" s="4" t="s">
        <v>20</v>
      </c>
      <c r="J44" s="5" t="s">
        <v>21</v>
      </c>
      <c r="K44" s="5" t="s">
        <v>134</v>
      </c>
    </row>
    <row r="45" customFormat="false" ht="15" hidden="false" customHeight="false" outlineLevel="0" collapsed="false">
      <c r="A45" s="4" t="s">
        <v>188</v>
      </c>
      <c r="B45" s="4" t="s">
        <v>176</v>
      </c>
      <c r="C45" s="4" t="s">
        <v>189</v>
      </c>
      <c r="D45" s="4" t="s">
        <v>178</v>
      </c>
      <c r="E45" s="4" t="s">
        <v>30</v>
      </c>
      <c r="F45" s="5" t="s">
        <v>18</v>
      </c>
      <c r="G45" s="4" t="s">
        <v>31</v>
      </c>
      <c r="H45" s="4" t="s">
        <v>44</v>
      </c>
      <c r="I45" s="4" t="s">
        <v>38</v>
      </c>
      <c r="J45" s="5" t="s">
        <v>21</v>
      </c>
      <c r="K45" s="5" t="s">
        <v>134</v>
      </c>
    </row>
    <row r="46" customFormat="false" ht="15" hidden="false" customHeight="false" outlineLevel="0" collapsed="false">
      <c r="A46" s="4" t="s">
        <v>190</v>
      </c>
      <c r="B46" s="4" t="s">
        <v>191</v>
      </c>
      <c r="C46" s="4" t="s">
        <v>192</v>
      </c>
      <c r="D46" s="4" t="s">
        <v>193</v>
      </c>
      <c r="E46" s="4" t="s">
        <v>194</v>
      </c>
      <c r="F46" s="5" t="s">
        <v>18</v>
      </c>
      <c r="G46" s="4" t="s">
        <v>59</v>
      </c>
      <c r="H46" s="4" t="s">
        <v>52</v>
      </c>
      <c r="I46" s="4" t="s">
        <v>20</v>
      </c>
      <c r="J46" s="5" t="s">
        <v>39</v>
      </c>
      <c r="K46" s="5" t="s">
        <v>74</v>
      </c>
    </row>
    <row r="47" customFormat="false" ht="15" hidden="false" customHeight="false" outlineLevel="0" collapsed="false">
      <c r="A47" s="4" t="s">
        <v>195</v>
      </c>
      <c r="B47" s="4" t="s">
        <v>191</v>
      </c>
      <c r="C47" s="4" t="s">
        <v>196</v>
      </c>
      <c r="D47" s="4" t="s">
        <v>193</v>
      </c>
      <c r="E47" s="4" t="s">
        <v>197</v>
      </c>
      <c r="F47" s="5" t="s">
        <v>18</v>
      </c>
      <c r="G47" s="4" t="s">
        <v>93</v>
      </c>
      <c r="H47" s="4" t="s">
        <v>52</v>
      </c>
      <c r="I47" s="4" t="s">
        <v>20</v>
      </c>
      <c r="J47" s="5" t="s">
        <v>39</v>
      </c>
      <c r="K47" s="5" t="s">
        <v>74</v>
      </c>
    </row>
    <row r="48" customFormat="false" ht="23.85" hidden="false" customHeight="false" outlineLevel="0" collapsed="false">
      <c r="A48" s="4" t="s">
        <v>198</v>
      </c>
      <c r="B48" s="4" t="s">
        <v>191</v>
      </c>
      <c r="C48" s="4" t="s">
        <v>199</v>
      </c>
      <c r="D48" s="4" t="s">
        <v>193</v>
      </c>
      <c r="E48" s="4" t="s">
        <v>200</v>
      </c>
      <c r="F48" s="5" t="s">
        <v>37</v>
      </c>
      <c r="G48" s="4" t="s">
        <v>19</v>
      </c>
      <c r="H48" s="4" t="s">
        <v>52</v>
      </c>
      <c r="I48" s="4" t="s">
        <v>20</v>
      </c>
      <c r="J48" s="5" t="s">
        <v>39</v>
      </c>
      <c r="K48" s="5" t="s">
        <v>74</v>
      </c>
    </row>
    <row r="49" customFormat="false" ht="15" hidden="false" customHeight="false" outlineLevel="0" collapsed="false">
      <c r="A49" s="4" t="s">
        <v>201</v>
      </c>
      <c r="B49" s="4" t="s">
        <v>191</v>
      </c>
      <c r="C49" s="4" t="s">
        <v>202</v>
      </c>
      <c r="D49" s="4" t="s">
        <v>203</v>
      </c>
      <c r="E49" s="4" t="s">
        <v>30</v>
      </c>
      <c r="F49" s="5" t="s">
        <v>18</v>
      </c>
      <c r="G49" s="4" t="s">
        <v>204</v>
      </c>
      <c r="H49" s="4" t="s">
        <v>205</v>
      </c>
      <c r="I49" s="4" t="s">
        <v>38</v>
      </c>
      <c r="J49" s="5" t="s">
        <v>39</v>
      </c>
      <c r="K49" s="5" t="s">
        <v>74</v>
      </c>
    </row>
    <row r="50" customFormat="false" ht="15" hidden="false" customHeight="false" outlineLevel="0" collapsed="false">
      <c r="A50" s="4" t="s">
        <v>206</v>
      </c>
      <c r="B50" s="4" t="s">
        <v>207</v>
      </c>
      <c r="C50" s="4" t="s">
        <v>208</v>
      </c>
      <c r="D50" s="4" t="s">
        <v>49</v>
      </c>
      <c r="E50" s="4" t="s">
        <v>209</v>
      </c>
      <c r="F50" s="5" t="s">
        <v>18</v>
      </c>
      <c r="G50" s="4" t="s">
        <v>59</v>
      </c>
      <c r="H50" s="4" t="s">
        <v>52</v>
      </c>
      <c r="I50" s="4" t="s">
        <v>32</v>
      </c>
      <c r="J50" s="5" t="s">
        <v>21</v>
      </c>
      <c r="K50" s="5" t="s">
        <v>68</v>
      </c>
    </row>
    <row r="51" customFormat="false" ht="15" hidden="false" customHeight="false" outlineLevel="0" collapsed="false">
      <c r="A51" s="4" t="s">
        <v>210</v>
      </c>
      <c r="B51" s="4" t="s">
        <v>207</v>
      </c>
      <c r="C51" s="4" t="s">
        <v>211</v>
      </c>
      <c r="D51" s="4" t="s">
        <v>137</v>
      </c>
      <c r="E51" s="4" t="s">
        <v>30</v>
      </c>
      <c r="F51" s="5" t="s">
        <v>18</v>
      </c>
      <c r="G51" s="4" t="s">
        <v>161</v>
      </c>
      <c r="H51" s="4" t="s">
        <v>64</v>
      </c>
      <c r="I51" s="4" t="s">
        <v>20</v>
      </c>
      <c r="J51" s="5" t="s">
        <v>21</v>
      </c>
      <c r="K51" s="5" t="s">
        <v>68</v>
      </c>
    </row>
    <row r="52" customFormat="false" ht="15" hidden="false" customHeight="false" outlineLevel="0" collapsed="false">
      <c r="A52" s="4" t="s">
        <v>212</v>
      </c>
      <c r="B52" s="4" t="s">
        <v>207</v>
      </c>
      <c r="C52" s="4" t="s">
        <v>213</v>
      </c>
      <c r="D52" s="4" t="s">
        <v>214</v>
      </c>
      <c r="E52" s="4" t="s">
        <v>30</v>
      </c>
      <c r="F52" s="5" t="s">
        <v>18</v>
      </c>
      <c r="G52" s="4" t="s">
        <v>31</v>
      </c>
      <c r="H52" s="4" t="s">
        <v>44</v>
      </c>
      <c r="I52" s="4" t="s">
        <v>38</v>
      </c>
      <c r="J52" s="5" t="s">
        <v>39</v>
      </c>
      <c r="K52" s="5" t="s">
        <v>152</v>
      </c>
    </row>
    <row r="53" customFormat="false" ht="15" hidden="false" customHeight="false" outlineLevel="0" collapsed="false">
      <c r="A53" s="4" t="s">
        <v>215</v>
      </c>
      <c r="B53" s="4" t="s">
        <v>216</v>
      </c>
      <c r="C53" s="4" t="s">
        <v>217</v>
      </c>
      <c r="D53" s="4" t="s">
        <v>218</v>
      </c>
      <c r="E53" s="4" t="s">
        <v>219</v>
      </c>
      <c r="F53" s="5" t="s">
        <v>18</v>
      </c>
      <c r="G53" s="4" t="s">
        <v>220</v>
      </c>
      <c r="H53" s="4" t="s">
        <v>221</v>
      </c>
      <c r="I53" s="4" t="s">
        <v>222</v>
      </c>
      <c r="J53" s="5" t="s">
        <v>21</v>
      </c>
      <c r="K53" s="5" t="s">
        <v>68</v>
      </c>
    </row>
    <row r="54" customFormat="false" ht="15" hidden="false" customHeight="false" outlineLevel="0" collapsed="false">
      <c r="A54" s="4" t="s">
        <v>223</v>
      </c>
      <c r="B54" s="4" t="s">
        <v>216</v>
      </c>
      <c r="C54" s="4" t="s">
        <v>224</v>
      </c>
      <c r="D54" s="4" t="s">
        <v>137</v>
      </c>
      <c r="E54" s="4" t="s">
        <v>225</v>
      </c>
      <c r="F54" s="5" t="s">
        <v>18</v>
      </c>
      <c r="G54" s="4" t="s">
        <v>26</v>
      </c>
      <c r="H54" s="4" t="s">
        <v>64</v>
      </c>
      <c r="I54" s="4" t="s">
        <v>27</v>
      </c>
      <c r="J54" s="5" t="s">
        <v>21</v>
      </c>
      <c r="K54" s="5" t="s">
        <v>68</v>
      </c>
    </row>
    <row r="55" customFormat="false" ht="23.85" hidden="false" customHeight="false" outlineLevel="0" collapsed="false">
      <c r="A55" s="4" t="s">
        <v>226</v>
      </c>
      <c r="B55" s="4" t="s">
        <v>227</v>
      </c>
      <c r="C55" s="4" t="s">
        <v>228</v>
      </c>
      <c r="D55" s="4" t="s">
        <v>137</v>
      </c>
      <c r="E55" s="4" t="s">
        <v>229</v>
      </c>
      <c r="F55" s="5" t="s">
        <v>37</v>
      </c>
      <c r="G55" s="4" t="s">
        <v>31</v>
      </c>
      <c r="H55" s="4" t="s">
        <v>52</v>
      </c>
      <c r="I55" s="4" t="s">
        <v>38</v>
      </c>
      <c r="J55" s="5" t="s">
        <v>39</v>
      </c>
      <c r="K55" s="5" t="s">
        <v>40</v>
      </c>
    </row>
    <row r="56" customFormat="false" ht="15" hidden="false" customHeight="false" outlineLevel="0" collapsed="false">
      <c r="A56" s="4" t="s">
        <v>230</v>
      </c>
      <c r="B56" s="4" t="s">
        <v>231</v>
      </c>
      <c r="C56" s="4" t="s">
        <v>232</v>
      </c>
      <c r="D56" s="4" t="s">
        <v>233</v>
      </c>
      <c r="E56" s="4" t="s">
        <v>234</v>
      </c>
      <c r="F56" s="5" t="s">
        <v>18</v>
      </c>
      <c r="G56" s="4" t="s">
        <v>31</v>
      </c>
      <c r="H56" s="4" t="s">
        <v>44</v>
      </c>
      <c r="I56" s="4" t="s">
        <v>38</v>
      </c>
      <c r="J56" s="5" t="s">
        <v>39</v>
      </c>
      <c r="K56" s="5" t="s">
        <v>80</v>
      </c>
    </row>
    <row r="57" customFormat="false" ht="15" hidden="false" customHeight="false" outlineLevel="0" collapsed="false">
      <c r="A57" s="4" t="s">
        <v>235</v>
      </c>
      <c r="B57" s="4" t="s">
        <v>231</v>
      </c>
      <c r="C57" s="4" t="s">
        <v>236</v>
      </c>
      <c r="D57" s="4" t="s">
        <v>233</v>
      </c>
      <c r="E57" s="4" t="s">
        <v>30</v>
      </c>
      <c r="F57" s="5" t="s">
        <v>18</v>
      </c>
      <c r="G57" s="4" t="s">
        <v>31</v>
      </c>
      <c r="H57" s="4" t="s">
        <v>44</v>
      </c>
      <c r="I57" s="4" t="s">
        <v>38</v>
      </c>
      <c r="J57" s="5" t="s">
        <v>39</v>
      </c>
      <c r="K57" s="5" t="s">
        <v>80</v>
      </c>
    </row>
    <row r="58" customFormat="false" ht="15" hidden="false" customHeight="false" outlineLevel="0" collapsed="false">
      <c r="A58" s="4" t="s">
        <v>237</v>
      </c>
      <c r="B58" s="4" t="s">
        <v>238</v>
      </c>
      <c r="C58" s="4" t="s">
        <v>239</v>
      </c>
      <c r="D58" s="4" t="s">
        <v>240</v>
      </c>
      <c r="E58" s="4" t="s">
        <v>30</v>
      </c>
      <c r="F58" s="5" t="s">
        <v>18</v>
      </c>
      <c r="G58" s="4" t="s">
        <v>59</v>
      </c>
      <c r="H58" s="4" t="s">
        <v>241</v>
      </c>
      <c r="I58" s="4" t="s">
        <v>38</v>
      </c>
      <c r="J58" s="5" t="s">
        <v>39</v>
      </c>
      <c r="K58" s="5" t="s">
        <v>80</v>
      </c>
    </row>
    <row r="59" customFormat="false" ht="15" hidden="false" customHeight="false" outlineLevel="0" collapsed="false">
      <c r="A59" s="4" t="s">
        <v>242</v>
      </c>
      <c r="B59" s="4" t="s">
        <v>243</v>
      </c>
      <c r="C59" s="4" t="s">
        <v>244</v>
      </c>
      <c r="D59" s="4" t="s">
        <v>233</v>
      </c>
      <c r="E59" s="4" t="s">
        <v>245</v>
      </c>
      <c r="F59" s="5" t="s">
        <v>18</v>
      </c>
      <c r="G59" s="4" t="s">
        <v>246</v>
      </c>
      <c r="H59" s="4" t="s">
        <v>44</v>
      </c>
      <c r="I59" s="4" t="s">
        <v>38</v>
      </c>
      <c r="J59" s="5" t="s">
        <v>39</v>
      </c>
      <c r="K59" s="5" t="s">
        <v>80</v>
      </c>
    </row>
    <row r="60" customFormat="false" ht="15" hidden="false" customHeight="false" outlineLevel="0" collapsed="false">
      <c r="A60" s="4" t="s">
        <v>247</v>
      </c>
      <c r="B60" s="4" t="s">
        <v>248</v>
      </c>
      <c r="C60" s="4" t="s">
        <v>249</v>
      </c>
      <c r="D60" s="4" t="s">
        <v>233</v>
      </c>
      <c r="E60" s="4" t="s">
        <v>250</v>
      </c>
      <c r="F60" s="5" t="s">
        <v>97</v>
      </c>
      <c r="G60" s="4" t="s">
        <v>251</v>
      </c>
      <c r="H60" s="4" t="s">
        <v>44</v>
      </c>
      <c r="I60" s="4" t="s">
        <v>38</v>
      </c>
      <c r="J60" s="5" t="s">
        <v>39</v>
      </c>
      <c r="K60" s="5" t="s">
        <v>251</v>
      </c>
    </row>
    <row r="61" customFormat="false" ht="15" hidden="false" customHeight="false" outlineLevel="0" collapsed="false">
      <c r="A61" s="4" t="s">
        <v>252</v>
      </c>
      <c r="B61" s="4" t="s">
        <v>248</v>
      </c>
      <c r="C61" s="4" t="s">
        <v>253</v>
      </c>
      <c r="D61" s="4" t="s">
        <v>233</v>
      </c>
      <c r="E61" s="4" t="s">
        <v>254</v>
      </c>
      <c r="F61" s="5" t="s">
        <v>97</v>
      </c>
      <c r="G61" s="4" t="s">
        <v>251</v>
      </c>
      <c r="H61" s="4" t="s">
        <v>44</v>
      </c>
      <c r="I61" s="4" t="s">
        <v>38</v>
      </c>
      <c r="J61" s="5" t="s">
        <v>39</v>
      </c>
      <c r="K61" s="5" t="s">
        <v>251</v>
      </c>
    </row>
    <row r="62" customFormat="false" ht="23.85" hidden="false" customHeight="false" outlineLevel="0" collapsed="false">
      <c r="A62" s="4" t="s">
        <v>255</v>
      </c>
      <c r="B62" s="4" t="s">
        <v>248</v>
      </c>
      <c r="C62" s="4" t="s">
        <v>256</v>
      </c>
      <c r="D62" s="4" t="s">
        <v>240</v>
      </c>
      <c r="E62" s="4" t="s">
        <v>257</v>
      </c>
      <c r="F62" s="5" t="s">
        <v>37</v>
      </c>
      <c r="G62" s="4" t="s">
        <v>161</v>
      </c>
      <c r="H62" s="4" t="s">
        <v>44</v>
      </c>
      <c r="I62" s="4" t="s">
        <v>38</v>
      </c>
      <c r="J62" s="5" t="s">
        <v>39</v>
      </c>
      <c r="K62" s="5" t="s">
        <v>85</v>
      </c>
    </row>
    <row r="63" customFormat="false" ht="23.85" hidden="false" customHeight="false" outlineLevel="0" collapsed="false">
      <c r="A63" s="4" t="s">
        <v>258</v>
      </c>
      <c r="B63" s="4" t="s">
        <v>248</v>
      </c>
      <c r="C63" s="4" t="s">
        <v>259</v>
      </c>
      <c r="D63" s="4" t="s">
        <v>260</v>
      </c>
      <c r="E63" s="4" t="s">
        <v>261</v>
      </c>
      <c r="F63" s="5" t="s">
        <v>37</v>
      </c>
      <c r="G63" s="4" t="s">
        <v>26</v>
      </c>
      <c r="H63" s="4" t="s">
        <v>44</v>
      </c>
      <c r="I63" s="4" t="s">
        <v>38</v>
      </c>
      <c r="J63" s="5" t="s">
        <v>39</v>
      </c>
      <c r="K63" s="5" t="s">
        <v>85</v>
      </c>
    </row>
    <row r="64" customFormat="false" ht="23.85" hidden="false" customHeight="false" outlineLevel="0" collapsed="false">
      <c r="A64" s="4" t="s">
        <v>262</v>
      </c>
      <c r="B64" s="4" t="s">
        <v>238</v>
      </c>
      <c r="C64" s="4" t="s">
        <v>263</v>
      </c>
      <c r="D64" s="4" t="s">
        <v>264</v>
      </c>
      <c r="E64" s="4" t="s">
        <v>265</v>
      </c>
      <c r="F64" s="5" t="s">
        <v>37</v>
      </c>
      <c r="G64" s="4" t="s">
        <v>59</v>
      </c>
      <c r="H64" s="4" t="s">
        <v>44</v>
      </c>
      <c r="I64" s="4" t="s">
        <v>38</v>
      </c>
      <c r="J64" s="5" t="s">
        <v>39</v>
      </c>
      <c r="K64" s="5" t="s">
        <v>85</v>
      </c>
    </row>
    <row r="65" customFormat="false" ht="15" hidden="false" customHeight="false" outlineLevel="0" collapsed="false">
      <c r="A65" s="4" t="s">
        <v>266</v>
      </c>
      <c r="B65" s="4" t="s">
        <v>227</v>
      </c>
      <c r="C65" s="4" t="s">
        <v>267</v>
      </c>
      <c r="D65" s="4" t="s">
        <v>268</v>
      </c>
      <c r="E65" s="4" t="s">
        <v>269</v>
      </c>
      <c r="F65" s="5" t="s">
        <v>97</v>
      </c>
      <c r="G65" s="4" t="s">
        <v>251</v>
      </c>
      <c r="H65" s="4" t="s">
        <v>44</v>
      </c>
      <c r="I65" s="4" t="s">
        <v>38</v>
      </c>
      <c r="J65" s="5" t="s">
        <v>39</v>
      </c>
      <c r="K65" s="5" t="s">
        <v>251</v>
      </c>
    </row>
    <row r="66" customFormat="false" ht="15" hidden="false" customHeight="false" outlineLevel="0" collapsed="false">
      <c r="A66" s="4" t="s">
        <v>270</v>
      </c>
      <c r="B66" s="4" t="s">
        <v>227</v>
      </c>
      <c r="C66" s="4" t="s">
        <v>271</v>
      </c>
      <c r="D66" s="4" t="s">
        <v>268</v>
      </c>
      <c r="E66" s="4" t="s">
        <v>272</v>
      </c>
      <c r="F66" s="5" t="s">
        <v>97</v>
      </c>
      <c r="G66" s="4" t="s">
        <v>251</v>
      </c>
      <c r="H66" s="4" t="s">
        <v>44</v>
      </c>
      <c r="I66" s="4" t="s">
        <v>38</v>
      </c>
      <c r="J66" s="5" t="s">
        <v>39</v>
      </c>
      <c r="K66" s="5" t="s">
        <v>251</v>
      </c>
    </row>
    <row r="67" customFormat="false" ht="23.85" hidden="false" customHeight="false" outlineLevel="0" collapsed="false">
      <c r="A67" s="4" t="s">
        <v>273</v>
      </c>
      <c r="B67" s="4" t="s">
        <v>227</v>
      </c>
      <c r="C67" s="4" t="s">
        <v>274</v>
      </c>
      <c r="D67" s="4" t="s">
        <v>275</v>
      </c>
      <c r="E67" s="4" t="s">
        <v>276</v>
      </c>
      <c r="F67" s="5" t="s">
        <v>37</v>
      </c>
      <c r="G67" s="4" t="s">
        <v>31</v>
      </c>
      <c r="H67" s="4" t="s">
        <v>73</v>
      </c>
      <c r="I67" s="4" t="s">
        <v>38</v>
      </c>
      <c r="J67" s="5" t="s">
        <v>39</v>
      </c>
      <c r="K67" s="5" t="s">
        <v>85</v>
      </c>
    </row>
    <row r="68" customFormat="false" ht="23.85" hidden="false" customHeight="false" outlineLevel="0" collapsed="false">
      <c r="A68" s="4" t="s">
        <v>277</v>
      </c>
      <c r="B68" s="4" t="s">
        <v>278</v>
      </c>
      <c r="C68" s="4" t="s">
        <v>279</v>
      </c>
      <c r="D68" s="4" t="s">
        <v>280</v>
      </c>
      <c r="E68" s="4" t="s">
        <v>281</v>
      </c>
      <c r="F68" s="5" t="s">
        <v>37</v>
      </c>
      <c r="G68" s="4" t="s">
        <v>31</v>
      </c>
      <c r="H68" s="4" t="s">
        <v>44</v>
      </c>
      <c r="I68" s="4" t="s">
        <v>38</v>
      </c>
      <c r="J68" s="5" t="s">
        <v>39</v>
      </c>
      <c r="K68" s="5" t="s">
        <v>85</v>
      </c>
    </row>
    <row r="69" customFormat="false" ht="15" hidden="false" customHeight="false" outlineLevel="0" collapsed="false">
      <c r="A69" s="4" t="s">
        <v>282</v>
      </c>
      <c r="B69" s="4" t="s">
        <v>278</v>
      </c>
      <c r="C69" s="4" t="s">
        <v>283</v>
      </c>
      <c r="D69" s="4" t="s">
        <v>280</v>
      </c>
      <c r="E69" s="4" t="s">
        <v>30</v>
      </c>
      <c r="F69" s="5" t="s">
        <v>18</v>
      </c>
      <c r="G69" s="4" t="s">
        <v>19</v>
      </c>
      <c r="H69" s="4" t="s">
        <v>284</v>
      </c>
      <c r="I69" s="4" t="s">
        <v>20</v>
      </c>
      <c r="J69" s="5" t="s">
        <v>39</v>
      </c>
      <c r="K69" s="5" t="s">
        <v>85</v>
      </c>
    </row>
    <row r="70" customFormat="false" ht="23.85" hidden="false" customHeight="false" outlineLevel="0" collapsed="false">
      <c r="A70" s="4" t="s">
        <v>285</v>
      </c>
      <c r="B70" s="4" t="s">
        <v>286</v>
      </c>
      <c r="C70" s="4" t="s">
        <v>287</v>
      </c>
      <c r="D70" s="4" t="s">
        <v>288</v>
      </c>
      <c r="E70" s="4" t="s">
        <v>30</v>
      </c>
      <c r="F70" s="5" t="s">
        <v>18</v>
      </c>
      <c r="G70" s="4" t="s">
        <v>26</v>
      </c>
      <c r="H70" s="4" t="s">
        <v>64</v>
      </c>
      <c r="I70" s="4" t="s">
        <v>27</v>
      </c>
      <c r="J70" s="5" t="s">
        <v>21</v>
      </c>
      <c r="K70" s="5" t="s">
        <v>68</v>
      </c>
    </row>
    <row r="71" customFormat="false" ht="15" hidden="false" customHeight="false" outlineLevel="0" collapsed="false">
      <c r="A71" s="4" t="s">
        <v>289</v>
      </c>
      <c r="B71" s="4" t="s">
        <v>286</v>
      </c>
      <c r="C71" s="4" t="s">
        <v>290</v>
      </c>
      <c r="D71" s="4" t="s">
        <v>288</v>
      </c>
      <c r="E71" s="4" t="s">
        <v>30</v>
      </c>
      <c r="F71" s="5" t="s">
        <v>18</v>
      </c>
      <c r="G71" s="4" t="s">
        <v>31</v>
      </c>
      <c r="H71" s="4" t="s">
        <v>64</v>
      </c>
      <c r="I71" s="4" t="s">
        <v>27</v>
      </c>
      <c r="J71" s="5" t="s">
        <v>21</v>
      </c>
      <c r="K71" s="5" t="s">
        <v>134</v>
      </c>
    </row>
    <row r="72" customFormat="false" ht="15" hidden="false" customHeight="false" outlineLevel="0" collapsed="false">
      <c r="A72" s="4" t="s">
        <v>291</v>
      </c>
      <c r="B72" s="4" t="s">
        <v>286</v>
      </c>
      <c r="C72" s="4" t="s">
        <v>292</v>
      </c>
      <c r="D72" s="4" t="s">
        <v>293</v>
      </c>
      <c r="E72" s="4" t="s">
        <v>30</v>
      </c>
      <c r="F72" s="5" t="s">
        <v>18</v>
      </c>
      <c r="G72" s="4" t="s">
        <v>31</v>
      </c>
      <c r="H72" s="4" t="s">
        <v>241</v>
      </c>
      <c r="I72" s="4" t="s">
        <v>27</v>
      </c>
      <c r="J72" s="5" t="s">
        <v>39</v>
      </c>
      <c r="K72" s="5" t="s">
        <v>152</v>
      </c>
    </row>
    <row r="73" customFormat="false" ht="15" hidden="false" customHeight="false" outlineLevel="0" collapsed="false">
      <c r="A73" s="4" t="s">
        <v>294</v>
      </c>
      <c r="B73" s="4" t="s">
        <v>286</v>
      </c>
      <c r="C73" s="4" t="s">
        <v>295</v>
      </c>
      <c r="D73" s="4" t="s">
        <v>296</v>
      </c>
      <c r="E73" s="4" t="s">
        <v>30</v>
      </c>
      <c r="F73" s="5" t="s">
        <v>18</v>
      </c>
      <c r="G73" s="4" t="s">
        <v>26</v>
      </c>
      <c r="H73" s="4" t="s">
        <v>44</v>
      </c>
      <c r="I73" s="4" t="s">
        <v>38</v>
      </c>
      <c r="J73" s="5" t="s">
        <v>39</v>
      </c>
      <c r="K73" s="5" t="s">
        <v>152</v>
      </c>
    </row>
    <row r="74" customFormat="false" ht="15" hidden="false" customHeight="false" outlineLevel="0" collapsed="false">
      <c r="A74" s="4" t="s">
        <v>297</v>
      </c>
      <c r="B74" s="4" t="s">
        <v>286</v>
      </c>
      <c r="C74" s="4" t="s">
        <v>298</v>
      </c>
      <c r="D74" s="4" t="s">
        <v>296</v>
      </c>
      <c r="E74" s="4" t="s">
        <v>30</v>
      </c>
      <c r="F74" s="5" t="s">
        <v>18</v>
      </c>
      <c r="G74" s="4" t="s">
        <v>26</v>
      </c>
      <c r="H74" s="4" t="s">
        <v>44</v>
      </c>
      <c r="I74" s="4" t="s">
        <v>38</v>
      </c>
      <c r="J74" s="5" t="s">
        <v>39</v>
      </c>
      <c r="K74" s="5" t="s">
        <v>152</v>
      </c>
    </row>
    <row r="75" customFormat="false" ht="23.85" hidden="false" customHeight="false" outlineLevel="0" collapsed="false">
      <c r="A75" s="4" t="s">
        <v>299</v>
      </c>
      <c r="B75" s="4" t="s">
        <v>286</v>
      </c>
      <c r="C75" s="4" t="s">
        <v>300</v>
      </c>
      <c r="D75" s="4" t="s">
        <v>296</v>
      </c>
      <c r="E75" s="4" t="s">
        <v>30</v>
      </c>
      <c r="F75" s="5" t="s">
        <v>18</v>
      </c>
      <c r="G75" s="4" t="s">
        <v>31</v>
      </c>
      <c r="H75" s="4" t="s">
        <v>44</v>
      </c>
      <c r="I75" s="4" t="s">
        <v>38</v>
      </c>
      <c r="J75" s="5" t="s">
        <v>39</v>
      </c>
      <c r="K75" s="5" t="s">
        <v>152</v>
      </c>
    </row>
    <row r="76" customFormat="false" ht="15" hidden="false" customHeight="false" outlineLevel="0" collapsed="false">
      <c r="A76" s="4" t="s">
        <v>301</v>
      </c>
      <c r="B76" s="4" t="s">
        <v>286</v>
      </c>
      <c r="C76" s="4" t="s">
        <v>302</v>
      </c>
      <c r="D76" s="4" t="s">
        <v>303</v>
      </c>
      <c r="E76" s="4" t="s">
        <v>30</v>
      </c>
      <c r="F76" s="5" t="s">
        <v>18</v>
      </c>
      <c r="G76" s="4" t="s">
        <v>26</v>
      </c>
      <c r="H76" s="4" t="s">
        <v>44</v>
      </c>
      <c r="I76" s="4" t="s">
        <v>38</v>
      </c>
      <c r="J76" s="5" t="s">
        <v>39</v>
      </c>
      <c r="K76" s="5" t="s">
        <v>152</v>
      </c>
    </row>
    <row r="77" customFormat="false" ht="15" hidden="false" customHeight="false" outlineLevel="0" collapsed="false">
      <c r="A77" s="4" t="s">
        <v>304</v>
      </c>
      <c r="B77" s="4" t="s">
        <v>286</v>
      </c>
      <c r="C77" s="4" t="s">
        <v>305</v>
      </c>
      <c r="D77" s="4" t="s">
        <v>240</v>
      </c>
      <c r="E77" s="4" t="s">
        <v>30</v>
      </c>
      <c r="F77" s="5" t="s">
        <v>18</v>
      </c>
      <c r="G77" s="4" t="s">
        <v>31</v>
      </c>
      <c r="H77" s="4" t="s">
        <v>44</v>
      </c>
      <c r="I77" s="4" t="s">
        <v>38</v>
      </c>
      <c r="J77" s="5" t="s">
        <v>39</v>
      </c>
      <c r="K77" s="5" t="s">
        <v>80</v>
      </c>
    </row>
    <row r="78" customFormat="false" ht="15" hidden="false" customHeight="false" outlineLevel="0" collapsed="false">
      <c r="A78" s="4" t="s">
        <v>306</v>
      </c>
      <c r="B78" s="4" t="s">
        <v>286</v>
      </c>
      <c r="C78" s="4" t="s">
        <v>307</v>
      </c>
      <c r="D78" s="4" t="s">
        <v>296</v>
      </c>
      <c r="E78" s="4" t="s">
        <v>30</v>
      </c>
      <c r="F78" s="5" t="s">
        <v>18</v>
      </c>
      <c r="G78" s="4" t="s">
        <v>31</v>
      </c>
      <c r="H78" s="4" t="s">
        <v>44</v>
      </c>
      <c r="I78" s="4" t="s">
        <v>38</v>
      </c>
      <c r="J78" s="5" t="s">
        <v>39</v>
      </c>
      <c r="K78" s="5" t="s">
        <v>45</v>
      </c>
    </row>
    <row r="79" customFormat="false" ht="15" hidden="false" customHeight="false" outlineLevel="0" collapsed="false">
      <c r="A79" s="4" t="s">
        <v>308</v>
      </c>
      <c r="B79" s="4" t="s">
        <v>286</v>
      </c>
      <c r="C79" s="4" t="s">
        <v>309</v>
      </c>
      <c r="D79" s="4" t="s">
        <v>310</v>
      </c>
      <c r="E79" s="4" t="s">
        <v>311</v>
      </c>
      <c r="F79" s="5" t="s">
        <v>18</v>
      </c>
      <c r="G79" s="4" t="s">
        <v>26</v>
      </c>
      <c r="H79" s="4" t="s">
        <v>73</v>
      </c>
      <c r="I79" s="4" t="s">
        <v>27</v>
      </c>
      <c r="J79" s="5" t="s">
        <v>39</v>
      </c>
      <c r="K79" s="5" t="s">
        <v>45</v>
      </c>
    </row>
    <row r="80" customFormat="false" ht="15" hidden="false" customHeight="false" outlineLevel="0" collapsed="false">
      <c r="A80" s="4" t="s">
        <v>312</v>
      </c>
      <c r="B80" s="4" t="s">
        <v>313</v>
      </c>
      <c r="C80" s="4" t="s">
        <v>314</v>
      </c>
      <c r="D80" s="4" t="s">
        <v>43</v>
      </c>
      <c r="E80" s="4" t="s">
        <v>315</v>
      </c>
      <c r="F80" s="5" t="s">
        <v>97</v>
      </c>
      <c r="G80" s="4" t="s">
        <v>251</v>
      </c>
      <c r="H80" s="4" t="s">
        <v>44</v>
      </c>
      <c r="I80" s="4" t="s">
        <v>38</v>
      </c>
      <c r="J80" s="5" t="s">
        <v>39</v>
      </c>
      <c r="K80" s="5" t="s">
        <v>251</v>
      </c>
    </row>
    <row r="81" customFormat="false" ht="15" hidden="false" customHeight="false" outlineLevel="0" collapsed="false">
      <c r="A81" s="4" t="s">
        <v>316</v>
      </c>
      <c r="B81" s="4" t="s">
        <v>313</v>
      </c>
      <c r="C81" s="4" t="s">
        <v>317</v>
      </c>
      <c r="D81" s="4" t="s">
        <v>310</v>
      </c>
      <c r="E81" s="4" t="s">
        <v>30</v>
      </c>
      <c r="F81" s="5" t="s">
        <v>18</v>
      </c>
      <c r="G81" s="4" t="s">
        <v>19</v>
      </c>
      <c r="H81" s="4" t="s">
        <v>44</v>
      </c>
      <c r="I81" s="4" t="s">
        <v>38</v>
      </c>
      <c r="J81" s="5" t="s">
        <v>39</v>
      </c>
      <c r="K81" s="5" t="s">
        <v>45</v>
      </c>
    </row>
    <row r="82" customFormat="false" ht="23.85" hidden="false" customHeight="false" outlineLevel="0" collapsed="false">
      <c r="A82" s="4" t="s">
        <v>318</v>
      </c>
      <c r="B82" s="4" t="s">
        <v>14</v>
      </c>
      <c r="C82" s="4" t="s">
        <v>319</v>
      </c>
      <c r="D82" s="4" t="s">
        <v>16</v>
      </c>
      <c r="E82" s="4" t="s">
        <v>320</v>
      </c>
      <c r="F82" s="5" t="s">
        <v>18</v>
      </c>
      <c r="G82" s="4" t="s">
        <v>321</v>
      </c>
      <c r="H82" s="4" t="s">
        <v>284</v>
      </c>
      <c r="I82" s="4" t="s">
        <v>20</v>
      </c>
      <c r="J82" s="5" t="s">
        <v>21</v>
      </c>
      <c r="K82" s="5" t="s">
        <v>33</v>
      </c>
    </row>
    <row r="83" customFormat="false" ht="15" hidden="false" customHeight="false" outlineLevel="0" collapsed="false">
      <c r="A83" s="4" t="s">
        <v>322</v>
      </c>
      <c r="B83" s="4" t="s">
        <v>323</v>
      </c>
      <c r="C83" s="4" t="s">
        <v>324</v>
      </c>
      <c r="D83" s="4" t="s">
        <v>49</v>
      </c>
      <c r="E83" s="4" t="s">
        <v>325</v>
      </c>
      <c r="F83" s="5" t="s">
        <v>18</v>
      </c>
      <c r="G83" s="4" t="s">
        <v>51</v>
      </c>
      <c r="H83" s="4" t="s">
        <v>52</v>
      </c>
      <c r="I83" s="4" t="s">
        <v>20</v>
      </c>
      <c r="J83" s="5" t="s">
        <v>21</v>
      </c>
      <c r="K83" s="5" t="s">
        <v>68</v>
      </c>
    </row>
    <row r="84" customFormat="false" ht="23.85" hidden="false" customHeight="false" outlineLevel="0" collapsed="false">
      <c r="A84" s="4" t="s">
        <v>326</v>
      </c>
      <c r="B84" s="4" t="s">
        <v>323</v>
      </c>
      <c r="C84" s="4" t="s">
        <v>327</v>
      </c>
      <c r="D84" s="4" t="s">
        <v>328</v>
      </c>
      <c r="E84" s="4" t="s">
        <v>329</v>
      </c>
      <c r="F84" s="5" t="s">
        <v>37</v>
      </c>
      <c r="G84" s="4" t="s">
        <v>19</v>
      </c>
      <c r="H84" s="4" t="s">
        <v>205</v>
      </c>
      <c r="I84" s="4" t="s">
        <v>20</v>
      </c>
      <c r="J84" s="5" t="s">
        <v>39</v>
      </c>
      <c r="K84" s="5" t="s">
        <v>40</v>
      </c>
    </row>
    <row r="85" customFormat="false" ht="23.85" hidden="false" customHeight="false" outlineLevel="0" collapsed="false">
      <c r="A85" s="4" t="s">
        <v>330</v>
      </c>
      <c r="B85" s="4" t="s">
        <v>323</v>
      </c>
      <c r="C85" s="4" t="s">
        <v>331</v>
      </c>
      <c r="D85" s="4" t="s">
        <v>332</v>
      </c>
      <c r="E85" s="4" t="s">
        <v>333</v>
      </c>
      <c r="F85" s="5" t="s">
        <v>37</v>
      </c>
      <c r="G85" s="4" t="s">
        <v>246</v>
      </c>
      <c r="H85" s="4" t="s">
        <v>44</v>
      </c>
      <c r="I85" s="4" t="s">
        <v>38</v>
      </c>
      <c r="J85" s="5" t="s">
        <v>39</v>
      </c>
      <c r="K85" s="5" t="s">
        <v>40</v>
      </c>
    </row>
    <row r="86" customFormat="false" ht="23.85" hidden="false" customHeight="false" outlineLevel="0" collapsed="false">
      <c r="A86" s="4" t="s">
        <v>334</v>
      </c>
      <c r="B86" s="4" t="s">
        <v>323</v>
      </c>
      <c r="C86" s="4" t="s">
        <v>335</v>
      </c>
      <c r="D86" s="4" t="s">
        <v>336</v>
      </c>
      <c r="E86" s="4" t="s">
        <v>337</v>
      </c>
      <c r="F86" s="5" t="s">
        <v>37</v>
      </c>
      <c r="G86" s="4" t="s">
        <v>31</v>
      </c>
      <c r="H86" s="4" t="s">
        <v>44</v>
      </c>
      <c r="I86" s="4" t="s">
        <v>38</v>
      </c>
      <c r="J86" s="5" t="s">
        <v>39</v>
      </c>
      <c r="K86" s="5" t="s">
        <v>152</v>
      </c>
    </row>
    <row r="87" customFormat="false" ht="23.85" hidden="false" customHeight="false" outlineLevel="0" collapsed="false">
      <c r="A87" s="4" t="s">
        <v>338</v>
      </c>
      <c r="B87" s="4" t="s">
        <v>323</v>
      </c>
      <c r="C87" s="4" t="s">
        <v>339</v>
      </c>
      <c r="D87" s="4" t="s">
        <v>340</v>
      </c>
      <c r="E87" s="4" t="s">
        <v>341</v>
      </c>
      <c r="F87" s="5" t="s">
        <v>37</v>
      </c>
      <c r="G87" s="4" t="s">
        <v>161</v>
      </c>
      <c r="H87" s="4" t="s">
        <v>241</v>
      </c>
      <c r="I87" s="4" t="s">
        <v>38</v>
      </c>
      <c r="J87" s="5" t="s">
        <v>39</v>
      </c>
      <c r="K87" s="5" t="s">
        <v>152</v>
      </c>
    </row>
    <row r="88" customFormat="false" ht="23.85" hidden="false" customHeight="false" outlineLevel="0" collapsed="false">
      <c r="A88" s="4" t="s">
        <v>342</v>
      </c>
      <c r="B88" s="4" t="s">
        <v>343</v>
      </c>
      <c r="C88" s="4" t="s">
        <v>344</v>
      </c>
      <c r="D88" s="4" t="s">
        <v>275</v>
      </c>
      <c r="E88" s="4" t="s">
        <v>345</v>
      </c>
      <c r="F88" s="5" t="s">
        <v>37</v>
      </c>
      <c r="G88" s="4" t="s">
        <v>19</v>
      </c>
      <c r="H88" s="4" t="s">
        <v>73</v>
      </c>
      <c r="I88" s="4" t="s">
        <v>20</v>
      </c>
      <c r="J88" s="5" t="s">
        <v>39</v>
      </c>
      <c r="K88" s="5" t="s">
        <v>40</v>
      </c>
    </row>
    <row r="89" customFormat="false" ht="23.85" hidden="false" customHeight="false" outlineLevel="0" collapsed="false">
      <c r="A89" s="4" t="s">
        <v>346</v>
      </c>
      <c r="B89" s="4" t="s">
        <v>343</v>
      </c>
      <c r="C89" s="4" t="s">
        <v>347</v>
      </c>
      <c r="D89" s="4" t="s">
        <v>288</v>
      </c>
      <c r="E89" s="4" t="s">
        <v>348</v>
      </c>
      <c r="F89" s="5" t="s">
        <v>37</v>
      </c>
      <c r="G89" s="4" t="s">
        <v>161</v>
      </c>
      <c r="H89" s="4" t="s">
        <v>73</v>
      </c>
      <c r="I89" s="4" t="s">
        <v>38</v>
      </c>
      <c r="J89" s="5" t="s">
        <v>39</v>
      </c>
      <c r="K89" s="5" t="s">
        <v>40</v>
      </c>
    </row>
    <row r="90" customFormat="false" ht="15" hidden="false" customHeight="false" outlineLevel="0" collapsed="false">
      <c r="A90" s="4" t="s">
        <v>349</v>
      </c>
      <c r="B90" s="4" t="s">
        <v>343</v>
      </c>
      <c r="C90" s="4" t="s">
        <v>350</v>
      </c>
      <c r="D90" s="4" t="s">
        <v>351</v>
      </c>
      <c r="E90" s="4" t="s">
        <v>352</v>
      </c>
      <c r="F90" s="5" t="s">
        <v>18</v>
      </c>
      <c r="G90" s="4" t="s">
        <v>59</v>
      </c>
      <c r="H90" s="4" t="s">
        <v>52</v>
      </c>
      <c r="I90" s="4" t="s">
        <v>20</v>
      </c>
      <c r="J90" s="5" t="s">
        <v>39</v>
      </c>
      <c r="K90" s="5" t="s">
        <v>152</v>
      </c>
    </row>
    <row r="91" customFormat="false" ht="15" hidden="false" customHeight="false" outlineLevel="0" collapsed="false">
      <c r="A91" s="4" t="s">
        <v>353</v>
      </c>
      <c r="B91" s="4" t="s">
        <v>343</v>
      </c>
      <c r="C91" s="4" t="s">
        <v>354</v>
      </c>
      <c r="D91" s="4" t="s">
        <v>233</v>
      </c>
      <c r="E91" s="4" t="s">
        <v>355</v>
      </c>
      <c r="F91" s="5" t="s">
        <v>97</v>
      </c>
      <c r="G91" s="4" t="s">
        <v>251</v>
      </c>
      <c r="H91" s="4" t="s">
        <v>44</v>
      </c>
      <c r="I91" s="4" t="s">
        <v>38</v>
      </c>
      <c r="J91" s="5" t="s">
        <v>39</v>
      </c>
      <c r="K91" s="5" t="s">
        <v>251</v>
      </c>
    </row>
    <row r="92" customFormat="false" ht="23.85" hidden="false" customHeight="false" outlineLevel="0" collapsed="false">
      <c r="A92" s="4" t="s">
        <v>356</v>
      </c>
      <c r="B92" s="4" t="s">
        <v>357</v>
      </c>
      <c r="C92" s="4" t="s">
        <v>358</v>
      </c>
      <c r="D92" s="4" t="s">
        <v>359</v>
      </c>
      <c r="E92" s="4" t="s">
        <v>360</v>
      </c>
      <c r="F92" s="5" t="s">
        <v>37</v>
      </c>
      <c r="G92" s="4" t="s">
        <v>93</v>
      </c>
      <c r="H92" s="4" t="s">
        <v>284</v>
      </c>
      <c r="I92" s="4" t="s">
        <v>38</v>
      </c>
      <c r="J92" s="5" t="s">
        <v>39</v>
      </c>
      <c r="K92" s="5" t="s">
        <v>85</v>
      </c>
    </row>
    <row r="93" customFormat="false" ht="23.85" hidden="false" customHeight="false" outlineLevel="0" collapsed="false">
      <c r="A93" s="4" t="s">
        <v>361</v>
      </c>
      <c r="B93" s="4" t="s">
        <v>357</v>
      </c>
      <c r="C93" s="4" t="s">
        <v>362</v>
      </c>
      <c r="D93" s="4" t="s">
        <v>363</v>
      </c>
      <c r="E93" s="4" t="s">
        <v>364</v>
      </c>
      <c r="F93" s="5" t="s">
        <v>37</v>
      </c>
      <c r="G93" s="4" t="s">
        <v>19</v>
      </c>
      <c r="H93" s="4" t="s">
        <v>52</v>
      </c>
      <c r="I93" s="4" t="s">
        <v>20</v>
      </c>
      <c r="J93" s="5" t="s">
        <v>39</v>
      </c>
      <c r="K93" s="5" t="s">
        <v>85</v>
      </c>
    </row>
    <row r="94" customFormat="false" ht="23.85" hidden="false" customHeight="false" outlineLevel="0" collapsed="false">
      <c r="A94" s="4" t="s">
        <v>365</v>
      </c>
      <c r="B94" s="4" t="s">
        <v>357</v>
      </c>
      <c r="C94" s="4" t="s">
        <v>366</v>
      </c>
      <c r="D94" s="4" t="s">
        <v>367</v>
      </c>
      <c r="E94" s="4" t="s">
        <v>368</v>
      </c>
      <c r="F94" s="5" t="s">
        <v>37</v>
      </c>
      <c r="G94" s="4" t="s">
        <v>19</v>
      </c>
      <c r="H94" s="4" t="s">
        <v>52</v>
      </c>
      <c r="I94" s="4" t="s">
        <v>20</v>
      </c>
      <c r="J94" s="5" t="s">
        <v>39</v>
      </c>
      <c r="K94" s="5" t="s">
        <v>85</v>
      </c>
    </row>
    <row r="95" customFormat="false" ht="15" hidden="false" customHeight="false" outlineLevel="0" collapsed="false">
      <c r="A95" s="4" t="s">
        <v>369</v>
      </c>
      <c r="B95" s="4" t="s">
        <v>357</v>
      </c>
      <c r="C95" s="4" t="s">
        <v>370</v>
      </c>
      <c r="D95" s="4" t="s">
        <v>233</v>
      </c>
      <c r="E95" s="4" t="s">
        <v>371</v>
      </c>
      <c r="F95" s="5" t="s">
        <v>97</v>
      </c>
      <c r="G95" s="4" t="s">
        <v>251</v>
      </c>
      <c r="H95" s="4" t="s">
        <v>44</v>
      </c>
      <c r="I95" s="4" t="s">
        <v>38</v>
      </c>
      <c r="J95" s="5" t="s">
        <v>39</v>
      </c>
      <c r="K95" s="5" t="s">
        <v>251</v>
      </c>
    </row>
    <row r="96" customFormat="false" ht="23.85" hidden="false" customHeight="false" outlineLevel="0" collapsed="false">
      <c r="A96" s="4" t="s">
        <v>372</v>
      </c>
      <c r="B96" s="4" t="s">
        <v>357</v>
      </c>
      <c r="C96" s="4" t="s">
        <v>373</v>
      </c>
      <c r="D96" s="4" t="s">
        <v>240</v>
      </c>
      <c r="E96" s="4" t="s">
        <v>374</v>
      </c>
      <c r="F96" s="5" t="s">
        <v>37</v>
      </c>
      <c r="G96" s="4" t="s">
        <v>161</v>
      </c>
      <c r="H96" s="4" t="s">
        <v>241</v>
      </c>
      <c r="I96" s="4" t="s">
        <v>38</v>
      </c>
      <c r="J96" s="5" t="s">
        <v>39</v>
      </c>
      <c r="K96" s="5" t="s">
        <v>85</v>
      </c>
    </row>
    <row r="97" customFormat="false" ht="15" hidden="false" customHeight="false" outlineLevel="0" collapsed="false">
      <c r="A97" s="4" t="s">
        <v>375</v>
      </c>
      <c r="B97" s="4" t="s">
        <v>357</v>
      </c>
      <c r="C97" s="4" t="s">
        <v>376</v>
      </c>
      <c r="D97" s="4" t="s">
        <v>377</v>
      </c>
      <c r="E97" s="4" t="s">
        <v>30</v>
      </c>
      <c r="F97" s="5" t="s">
        <v>18</v>
      </c>
      <c r="G97" s="4" t="s">
        <v>51</v>
      </c>
      <c r="H97" s="4" t="s">
        <v>52</v>
      </c>
      <c r="I97" s="4" t="s">
        <v>32</v>
      </c>
      <c r="J97" s="5" t="s">
        <v>39</v>
      </c>
      <c r="K97" s="5" t="s">
        <v>85</v>
      </c>
    </row>
  </sheetData>
  <autoFilter ref="A4:K9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60"/>
    <col collapsed="false" customWidth="true" hidden="false" outlineLevel="0" max="5" min="5" style="0" width="40"/>
    <col collapsed="false" customWidth="true" hidden="false" outlineLevel="0" max="7" min="6" style="0" width="10"/>
  </cols>
  <sheetData>
    <row r="1" customFormat="false" ht="17.35" hidden="false" customHeight="false" outlineLevel="0" collapsed="false">
      <c r="A1" s="1" t="s">
        <v>378</v>
      </c>
    </row>
    <row r="2" customFormat="false" ht="15" hidden="false" customHeight="false" outlineLevel="0" collapsed="false">
      <c r="A2" s="2" t="s">
        <v>379</v>
      </c>
    </row>
    <row r="4" customFormat="false" ht="23.85" hidden="false" customHeight="false" outlineLevel="0" collapsed="false">
      <c r="A4" s="3" t="s">
        <v>12</v>
      </c>
      <c r="B4" s="3" t="s">
        <v>380</v>
      </c>
      <c r="C4" s="3" t="s">
        <v>381</v>
      </c>
      <c r="D4" s="3" t="s">
        <v>382</v>
      </c>
      <c r="E4" s="3" t="s">
        <v>383</v>
      </c>
      <c r="F4" s="3" t="s">
        <v>384</v>
      </c>
      <c r="G4" s="3" t="s">
        <v>385</v>
      </c>
    </row>
    <row r="5" customFormat="false" ht="23.85" hidden="false" customHeight="false" outlineLevel="0" collapsed="false">
      <c r="A5" s="4" t="s">
        <v>22</v>
      </c>
      <c r="B5" s="4" t="s">
        <v>386</v>
      </c>
      <c r="C5" s="4" t="s">
        <v>387</v>
      </c>
      <c r="D5" s="4" t="s">
        <v>388</v>
      </c>
      <c r="E5" s="4" t="s">
        <v>389</v>
      </c>
      <c r="F5" s="5" t="n">
        <v>40</v>
      </c>
      <c r="G5" s="6" t="n">
        <f aca="false">COUNTIF(Screens!$K$5:$K$97,A5)</f>
        <v>2</v>
      </c>
    </row>
    <row r="6" customFormat="false" ht="35.05" hidden="false" customHeight="false" outlineLevel="0" collapsed="false">
      <c r="A6" s="4" t="s">
        <v>33</v>
      </c>
      <c r="B6" s="4" t="s">
        <v>390</v>
      </c>
      <c r="C6" s="4" t="s">
        <v>391</v>
      </c>
      <c r="D6" s="4" t="s">
        <v>392</v>
      </c>
      <c r="E6" s="4" t="s">
        <v>393</v>
      </c>
      <c r="F6" s="5" t="n">
        <v>40</v>
      </c>
      <c r="G6" s="6" t="n">
        <f aca="false">COUNTIF(Screens!$K$5:$K$97,A6)</f>
        <v>6</v>
      </c>
    </row>
    <row r="7" customFormat="false" ht="35.05" hidden="false" customHeight="false" outlineLevel="0" collapsed="false">
      <c r="A7" s="4" t="s">
        <v>68</v>
      </c>
      <c r="B7" s="4" t="s">
        <v>394</v>
      </c>
      <c r="C7" s="4" t="s">
        <v>395</v>
      </c>
      <c r="D7" s="4" t="s">
        <v>396</v>
      </c>
      <c r="E7" s="4" t="s">
        <v>397</v>
      </c>
      <c r="F7" s="5" t="n">
        <v>40</v>
      </c>
      <c r="G7" s="6" t="n">
        <f aca="false">COUNTIF(Screens!$K$5:$K$97,A7)</f>
        <v>9</v>
      </c>
    </row>
    <row r="8" customFormat="false" ht="23.85" hidden="false" customHeight="false" outlineLevel="0" collapsed="false">
      <c r="A8" s="4" t="s">
        <v>134</v>
      </c>
      <c r="B8" s="4" t="s">
        <v>398</v>
      </c>
      <c r="C8" s="4" t="s">
        <v>399</v>
      </c>
      <c r="D8" s="4" t="s">
        <v>400</v>
      </c>
      <c r="E8" s="4" t="s">
        <v>401</v>
      </c>
      <c r="F8" s="5" t="n">
        <v>40</v>
      </c>
      <c r="G8" s="6" t="n">
        <f aca="false">COUNTIF(Screens!$K$5:$K$97,A8)</f>
        <v>12</v>
      </c>
    </row>
    <row r="9" customFormat="false" ht="15" hidden="false" customHeight="false" outlineLevel="0" collapsed="false">
      <c r="A9" s="4" t="s">
        <v>402</v>
      </c>
      <c r="B9" s="4" t="s">
        <v>403</v>
      </c>
      <c r="C9" s="4" t="s">
        <v>404</v>
      </c>
      <c r="D9" s="4" t="s">
        <v>405</v>
      </c>
      <c r="E9" s="4" t="s">
        <v>406</v>
      </c>
      <c r="F9" s="5" t="n">
        <v>10</v>
      </c>
      <c r="G9" s="6" t="n">
        <f aca="false">COUNTIF(Screens!$K$5:$K$97,A9)</f>
        <v>0</v>
      </c>
    </row>
    <row r="10" customFormat="false" ht="15" hidden="false" customHeight="false" outlineLevel="0" collapsed="false">
      <c r="A10" s="4" t="s">
        <v>407</v>
      </c>
      <c r="B10" s="4" t="s">
        <v>408</v>
      </c>
      <c r="C10" s="4" t="s">
        <v>409</v>
      </c>
      <c r="D10" s="4" t="s">
        <v>410</v>
      </c>
      <c r="E10" s="4" t="s">
        <v>411</v>
      </c>
      <c r="F10" s="5" t="n">
        <v>40</v>
      </c>
      <c r="G10" s="6" t="n">
        <f aca="false">COUNTIF(Screens!$K$5:$K$97,A10)</f>
        <v>0</v>
      </c>
    </row>
    <row r="11" customFormat="false" ht="35.05" hidden="false" customHeight="false" outlineLevel="0" collapsed="false">
      <c r="A11" s="4" t="s">
        <v>40</v>
      </c>
      <c r="B11" s="4" t="s">
        <v>412</v>
      </c>
      <c r="C11" s="4" t="s">
        <v>413</v>
      </c>
      <c r="D11" s="4" t="s">
        <v>414</v>
      </c>
      <c r="E11" s="4" t="s">
        <v>415</v>
      </c>
      <c r="F11" s="5" t="n">
        <v>40</v>
      </c>
      <c r="G11" s="6" t="n">
        <f aca="false">COUNTIF(Screens!$K$5:$K$97,A11)</f>
        <v>6</v>
      </c>
    </row>
    <row r="12" customFormat="false" ht="35.05" hidden="false" customHeight="false" outlineLevel="0" collapsed="false">
      <c r="A12" s="4" t="s">
        <v>152</v>
      </c>
      <c r="B12" s="4" t="s">
        <v>416</v>
      </c>
      <c r="C12" s="4" t="s">
        <v>417</v>
      </c>
      <c r="D12" s="4" t="s">
        <v>418</v>
      </c>
      <c r="E12" s="4" t="s">
        <v>419</v>
      </c>
      <c r="F12" s="5" t="n">
        <v>40</v>
      </c>
      <c r="G12" s="6" t="n">
        <f aca="false">COUNTIF(Screens!$K$5:$K$97,A12)</f>
        <v>12</v>
      </c>
    </row>
    <row r="13" customFormat="false" ht="15" hidden="false" customHeight="false" outlineLevel="0" collapsed="false">
      <c r="A13" s="4" t="s">
        <v>74</v>
      </c>
      <c r="B13" s="4" t="s">
        <v>420</v>
      </c>
      <c r="C13" s="4" t="s">
        <v>421</v>
      </c>
      <c r="D13" s="4" t="s">
        <v>422</v>
      </c>
      <c r="E13" s="4" t="s">
        <v>423</v>
      </c>
      <c r="F13" s="5" t="n">
        <v>40</v>
      </c>
      <c r="G13" s="6" t="n">
        <f aca="false">COUNTIF(Screens!$K$5:$K$97,A13)</f>
        <v>5</v>
      </c>
    </row>
    <row r="14" customFormat="false" ht="23.85" hidden="false" customHeight="false" outlineLevel="0" collapsed="false">
      <c r="A14" s="4" t="s">
        <v>80</v>
      </c>
      <c r="B14" s="4" t="s">
        <v>420</v>
      </c>
      <c r="C14" s="4" t="s">
        <v>424</v>
      </c>
      <c r="D14" s="4" t="s">
        <v>425</v>
      </c>
      <c r="E14" s="4" t="s">
        <v>426</v>
      </c>
      <c r="F14" s="5" t="n">
        <v>40</v>
      </c>
      <c r="G14" s="6" t="n">
        <f aca="false">COUNTIF(Screens!$K$5:$K$97,A14)</f>
        <v>6</v>
      </c>
    </row>
    <row r="15" customFormat="false" ht="23.85" hidden="false" customHeight="false" outlineLevel="0" collapsed="false">
      <c r="A15" s="4" t="s">
        <v>45</v>
      </c>
      <c r="B15" s="4" t="s">
        <v>427</v>
      </c>
      <c r="C15" s="4" t="s">
        <v>428</v>
      </c>
      <c r="D15" s="4" t="s">
        <v>429</v>
      </c>
      <c r="E15" s="4" t="s">
        <v>430</v>
      </c>
      <c r="F15" s="5" t="n">
        <v>40</v>
      </c>
      <c r="G15" s="6" t="n">
        <f aca="false">COUNTIF(Screens!$K$5:$K$97,A15)</f>
        <v>4</v>
      </c>
    </row>
    <row r="16" customFormat="false" ht="15" hidden="false" customHeight="false" outlineLevel="0" collapsed="false">
      <c r="C16" s="7" t="s">
        <v>431</v>
      </c>
      <c r="F16" s="7" t="n">
        <f aca="false">SUM(F5:F15)</f>
        <v>410</v>
      </c>
    </row>
    <row r="17" customFormat="false" ht="15" hidden="false" customHeight="false" outlineLevel="0" collapsed="false">
      <c r="C17" s="7" t="s">
        <v>432</v>
      </c>
      <c r="F17" s="7" t="n">
        <f aca="false">SUM(F5:F9)</f>
        <v>170</v>
      </c>
    </row>
    <row r="18" customFormat="false" ht="15" hidden="false" customHeight="false" outlineLevel="0" collapsed="false">
      <c r="C18" s="8" t="s">
        <v>433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434</v>
      </c>
    </row>
    <row r="3" customFormat="false" ht="15" hidden="false" customHeight="false" outlineLevel="0" collapsed="false">
      <c r="A3" s="3" t="s">
        <v>7</v>
      </c>
      <c r="B3" s="3" t="s">
        <v>435</v>
      </c>
      <c r="C3" s="3" t="s">
        <v>436</v>
      </c>
    </row>
    <row r="4" customFormat="false" ht="15" hidden="false" customHeight="false" outlineLevel="0" collapsed="false">
      <c r="A4" s="9" t="s">
        <v>97</v>
      </c>
      <c r="B4" s="10" t="n">
        <f aca="false">COUNTIF(Screens!$F$5:$F$97,A4)</f>
        <v>8</v>
      </c>
      <c r="C4" s="10" t="n">
        <f aca="false">COUNTIFS(Screens!$F$5:$F$97,A4,Screens!$J$5:$J$97,"MVP")</f>
        <v>0</v>
      </c>
    </row>
    <row r="5" customFormat="false" ht="15" hidden="false" customHeight="false" outlineLevel="0" collapsed="false">
      <c r="A5" s="9" t="s">
        <v>37</v>
      </c>
      <c r="B5" s="10" t="n">
        <f aca="false">COUNTIF(Screens!$F$5:$F$97,A5)</f>
        <v>35</v>
      </c>
      <c r="C5" s="10" t="n">
        <f aca="false">COUNTIFS(Screens!$F$5:$F$97,A5,Screens!$J$5:$J$97,"MVP")</f>
        <v>6</v>
      </c>
    </row>
    <row r="6" customFormat="false" ht="15" hidden="false" customHeight="false" outlineLevel="0" collapsed="false">
      <c r="A6" s="9" t="s">
        <v>18</v>
      </c>
      <c r="B6" s="10" t="n">
        <f aca="false">COUNTIF(Screens!$F$5:$F$97,A6)</f>
        <v>50</v>
      </c>
      <c r="C6" s="10" t="n">
        <f aca="false">COUNTIFS(Screens!$F$5:$F$97,A6,Screens!$J$5:$J$97,"MVP")</f>
        <v>23</v>
      </c>
    </row>
    <row r="7" customFormat="false" ht="15" hidden="false" customHeight="false" outlineLevel="0" collapsed="false">
      <c r="A7" s="11" t="s">
        <v>437</v>
      </c>
      <c r="B7" s="12" t="n">
        <f aca="false">SUM(B4:B6)</f>
        <v>93</v>
      </c>
      <c r="C7" s="12" t="n">
        <f aca="false">SUM(C4:C6)</f>
        <v>29</v>
      </c>
    </row>
    <row r="9" customFormat="false" ht="15" hidden="false" customHeight="false" outlineLevel="0" collapsed="false">
      <c r="A9" s="8" t="s">
        <v>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2026-10-31T09:23:18Z</dcterms:created>
  <dc:creator>openpyxl</dc:creator>
  <dc:description/>
  <dc:language>en-US</dc:language>
  <cp:lastModifiedBy/>
  <dcterms:modified xsi:type="dcterms:W3CDTF">2026-10-31T09:23:18Z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